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vibhu\"/>
    </mc:Choice>
  </mc:AlternateContent>
  <xr:revisionPtr revIDLastSave="0" documentId="13_ncr:1_{E6CB249F-14FA-44D3-AA3A-6D9E6F7B11E2}" xr6:coauthVersionLast="47" xr6:coauthVersionMax="47" xr10:uidLastSave="{00000000-0000-0000-0000-000000000000}"/>
  <bookViews>
    <workbookView xWindow="-120" yWindow="-120" windowWidth="19440" windowHeight="10440" tabRatio="856" activeTab="5" xr2:uid="{00000000-000D-0000-FFFF-FFFF00000000}"/>
  </bookViews>
  <sheets>
    <sheet name="Balance Sheet" sheetId="2" r:id="rId1"/>
    <sheet name="P &amp; L Statement" sheetId="1" r:id="rId2"/>
    <sheet name="Cash Flow Statement" sheetId="3" r:id="rId3"/>
    <sheet name="Common size BS" sheetId="4" r:id="rId4"/>
    <sheet name="Common size pl" sheetId="5" r:id="rId5"/>
    <sheet name="Ratio analysi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" i="6" l="1"/>
  <c r="I22" i="6"/>
  <c r="H23" i="6"/>
  <c r="I23" i="6"/>
  <c r="H24" i="6"/>
  <c r="I24" i="6"/>
  <c r="H25" i="6"/>
  <c r="I25" i="6"/>
  <c r="H26" i="6"/>
  <c r="I26" i="6"/>
  <c r="H14" i="6"/>
  <c r="I14" i="6"/>
  <c r="H15" i="6"/>
  <c r="I15" i="6"/>
  <c r="H16" i="6"/>
  <c r="I16" i="6"/>
  <c r="H17" i="6"/>
  <c r="I17" i="6"/>
  <c r="H18" i="6"/>
  <c r="I18" i="6"/>
  <c r="H19" i="6"/>
  <c r="H20" i="6" s="1"/>
  <c r="I19" i="6"/>
  <c r="I20" i="6" s="1"/>
  <c r="H12" i="6"/>
  <c r="I12" i="6"/>
  <c r="H11" i="6"/>
  <c r="I11" i="6"/>
  <c r="H10" i="6"/>
  <c r="I10" i="6"/>
  <c r="H8" i="6"/>
  <c r="I8" i="6"/>
  <c r="H7" i="6"/>
  <c r="I7" i="6"/>
  <c r="H6" i="6"/>
  <c r="I6" i="6"/>
  <c r="H5" i="6"/>
  <c r="I5" i="6"/>
  <c r="H4" i="6"/>
  <c r="I4" i="6"/>
  <c r="G36" i="2"/>
  <c r="G37" i="2"/>
  <c r="H36" i="2"/>
  <c r="G4" i="6"/>
  <c r="H40" i="2"/>
  <c r="H39" i="2"/>
  <c r="H37" i="2"/>
  <c r="C4" i="3"/>
  <c r="D4" i="3"/>
  <c r="E4" i="3"/>
  <c r="F4" i="3"/>
  <c r="B4" i="3"/>
  <c r="G6" i="2"/>
  <c r="E14" i="2"/>
  <c r="E7" i="2"/>
  <c r="F19" i="6"/>
  <c r="F20" i="6" s="1"/>
  <c r="G14" i="6"/>
  <c r="G15" i="6" s="1"/>
  <c r="F14" i="6"/>
  <c r="F15" i="6" s="1"/>
  <c r="E14" i="6"/>
  <c r="E15" i="6" s="1"/>
  <c r="D14" i="6"/>
  <c r="D15" i="6" s="1"/>
  <c r="C14" i="6"/>
  <c r="C15" i="6" s="1"/>
  <c r="C8" i="6"/>
  <c r="A30" i="5"/>
  <c r="A24" i="5"/>
  <c r="A22" i="5"/>
  <c r="A16" i="5"/>
  <c r="A14" i="5"/>
  <c r="A8" i="5"/>
  <c r="A6" i="5"/>
  <c r="A4" i="5" a="1"/>
  <c r="A26" i="5" s="1"/>
  <c r="F3" i="5"/>
  <c r="B3" i="5" a="1"/>
  <c r="A24" i="4" a="1"/>
  <c r="A38" i="4" s="1"/>
  <c r="A5" i="4" a="1"/>
  <c r="A23" i="4" s="1"/>
  <c r="B27" i="3"/>
  <c r="F26" i="3"/>
  <c r="E26" i="3"/>
  <c r="D26" i="3"/>
  <c r="C26" i="3"/>
  <c r="B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D23" i="3" s="1"/>
  <c r="C18" i="3"/>
  <c r="C23" i="3" s="1"/>
  <c r="B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F16" i="3" s="1"/>
  <c r="E10" i="3"/>
  <c r="E16" i="3" s="1"/>
  <c r="D10" i="3"/>
  <c r="D16" i="3" s="1"/>
  <c r="C10" i="3"/>
  <c r="C16" i="3" s="1"/>
  <c r="F6" i="3"/>
  <c r="E6" i="3"/>
  <c r="D6" i="3"/>
  <c r="C6" i="3"/>
  <c r="B6" i="3"/>
  <c r="F5" i="3"/>
  <c r="E5" i="3"/>
  <c r="D5" i="3"/>
  <c r="C5" i="3"/>
  <c r="B5" i="3"/>
  <c r="E17" i="1"/>
  <c r="E15" i="1"/>
  <c r="D15" i="1"/>
  <c r="F13" i="1"/>
  <c r="E13" i="1"/>
  <c r="D13" i="1"/>
  <c r="E16" i="6" s="1"/>
  <c r="E17" i="6" s="1"/>
  <c r="C13" i="1"/>
  <c r="B13" i="1"/>
  <c r="F7" i="1"/>
  <c r="E7" i="1"/>
  <c r="D7" i="1"/>
  <c r="C7" i="1"/>
  <c r="B7" i="1"/>
  <c r="B15" i="1" s="1"/>
  <c r="G3" i="1"/>
  <c r="G4" i="1" s="1"/>
  <c r="F41" i="2"/>
  <c r="E41" i="2"/>
  <c r="D41" i="2"/>
  <c r="C41" i="2"/>
  <c r="B41" i="2"/>
  <c r="F33" i="2"/>
  <c r="F28" i="2"/>
  <c r="E28" i="2"/>
  <c r="E33" i="2" s="1"/>
  <c r="D28" i="2"/>
  <c r="C28" i="2"/>
  <c r="C33" i="2" s="1"/>
  <c r="B28" i="2"/>
  <c r="B33" i="2" s="1"/>
  <c r="D21" i="2"/>
  <c r="F20" i="2"/>
  <c r="E20" i="2"/>
  <c r="D20" i="2"/>
  <c r="C20" i="2"/>
  <c r="B20" i="2"/>
  <c r="F14" i="2"/>
  <c r="D14" i="2"/>
  <c r="C14" i="2"/>
  <c r="B14" i="2"/>
  <c r="F7" i="2"/>
  <c r="D7" i="2"/>
  <c r="C7" i="2"/>
  <c r="D10" i="6" s="1"/>
  <c r="B7" i="2"/>
  <c r="H38" i="2" l="1"/>
  <c r="E42" i="2"/>
  <c r="F11" i="6" s="1"/>
  <c r="C42" i="2"/>
  <c r="D11" i="6" s="1"/>
  <c r="A32" i="4"/>
  <c r="E21" i="2"/>
  <c r="A7" i="4"/>
  <c r="A15" i="4"/>
  <c r="A33" i="4"/>
  <c r="A8" i="4"/>
  <c r="A16" i="4"/>
  <c r="A26" i="4"/>
  <c r="A37" i="4"/>
  <c r="A12" i="4"/>
  <c r="A20" i="4"/>
  <c r="A5" i="4"/>
  <c r="A11" i="4"/>
  <c r="A19" i="4"/>
  <c r="A28" i="4"/>
  <c r="E23" i="3"/>
  <c r="F23" i="3"/>
  <c r="F42" i="2"/>
  <c r="G11" i="6" s="1"/>
  <c r="G3" i="5"/>
  <c r="G15" i="5" s="1"/>
  <c r="H4" i="1"/>
  <c r="G24" i="2"/>
  <c r="G17" i="2"/>
  <c r="F29" i="5"/>
  <c r="F24" i="5"/>
  <c r="F19" i="5"/>
  <c r="F15" i="5"/>
  <c r="F10" i="5"/>
  <c r="F5" i="5"/>
  <c r="F31" i="5"/>
  <c r="F26" i="5"/>
  <c r="F21" i="5"/>
  <c r="F17" i="5"/>
  <c r="F8" i="5"/>
  <c r="F4" i="5"/>
  <c r="F27" i="5"/>
  <c r="F9" i="5"/>
  <c r="E10" i="6"/>
  <c r="G11" i="2"/>
  <c r="G6" i="6"/>
  <c r="G5" i="6"/>
  <c r="F18" i="6"/>
  <c r="D33" i="2"/>
  <c r="B42" i="2"/>
  <c r="C26" i="6" s="1"/>
  <c r="F7" i="3"/>
  <c r="F10" i="6"/>
  <c r="D6" i="6"/>
  <c r="D5" i="6"/>
  <c r="G18" i="6"/>
  <c r="C12" i="6"/>
  <c r="C23" i="6"/>
  <c r="B14" i="5"/>
  <c r="B17" i="1"/>
  <c r="F6" i="5"/>
  <c r="F15" i="1"/>
  <c r="D16" i="6"/>
  <c r="D17" i="6" s="1"/>
  <c r="D19" i="6"/>
  <c r="D20" i="6" s="1"/>
  <c r="D8" i="6"/>
  <c r="E19" i="1"/>
  <c r="F30" i="5"/>
  <c r="C6" i="6"/>
  <c r="C5" i="6"/>
  <c r="G18" i="2"/>
  <c r="C21" i="2"/>
  <c r="C43" i="2" s="1"/>
  <c r="C4" i="6"/>
  <c r="E23" i="6"/>
  <c r="E12" i="6"/>
  <c r="D14" i="5"/>
  <c r="D17" i="1"/>
  <c r="F11" i="5"/>
  <c r="D7" i="6"/>
  <c r="F23" i="6"/>
  <c r="F12" i="6"/>
  <c r="C7" i="3"/>
  <c r="G10" i="6"/>
  <c r="D18" i="6"/>
  <c r="C18" i="6"/>
  <c r="E4" i="6"/>
  <c r="F8" i="6"/>
  <c r="F7" i="6"/>
  <c r="F16" i="6"/>
  <c r="F17" i="6" s="1"/>
  <c r="D7" i="3"/>
  <c r="A9" i="4"/>
  <c r="A13" i="4"/>
  <c r="A17" i="4"/>
  <c r="A21" i="4"/>
  <c r="A39" i="4"/>
  <c r="A35" i="4"/>
  <c r="A31" i="4"/>
  <c r="A27" i="4"/>
  <c r="A24" i="4"/>
  <c r="A29" i="4"/>
  <c r="A34" i="4"/>
  <c r="A40" i="4"/>
  <c r="E3" i="5"/>
  <c r="B3" i="5"/>
  <c r="C3" i="5"/>
  <c r="D4" i="6"/>
  <c r="C6" i="5"/>
  <c r="E19" i="6"/>
  <c r="E20" i="6" s="1"/>
  <c r="E8" i="6"/>
  <c r="E7" i="6"/>
  <c r="C10" i="6"/>
  <c r="E5" i="6"/>
  <c r="E6" i="6"/>
  <c r="F6" i="6"/>
  <c r="F5" i="6"/>
  <c r="B21" i="2"/>
  <c r="B43" i="2" s="1"/>
  <c r="F21" i="2"/>
  <c r="F43" i="2" s="1"/>
  <c r="E18" i="6"/>
  <c r="F4" i="6"/>
  <c r="C7" i="6"/>
  <c r="C16" i="6"/>
  <c r="C17" i="6" s="1"/>
  <c r="C19" i="6"/>
  <c r="C20" i="6" s="1"/>
  <c r="B12" i="5"/>
  <c r="G7" i="6"/>
  <c r="G16" i="6"/>
  <c r="G17" i="6" s="1"/>
  <c r="G19" i="6"/>
  <c r="G20" i="6" s="1"/>
  <c r="F12" i="5"/>
  <c r="G8" i="6"/>
  <c r="C15" i="1"/>
  <c r="E7" i="3"/>
  <c r="A6" i="4"/>
  <c r="A10" i="4"/>
  <c r="A14" i="4"/>
  <c r="A18" i="4"/>
  <c r="A22" i="4"/>
  <c r="A25" i="4"/>
  <c r="A30" i="4"/>
  <c r="A36" i="4"/>
  <c r="D3" i="5"/>
  <c r="A10" i="5"/>
  <c r="A18" i="5"/>
  <c r="A31" i="5"/>
  <c r="A27" i="5"/>
  <c r="A23" i="5"/>
  <c r="A19" i="5"/>
  <c r="A15" i="5"/>
  <c r="A11" i="5"/>
  <c r="A7" i="5"/>
  <c r="A4" i="5"/>
  <c r="A29" i="5"/>
  <c r="A25" i="5"/>
  <c r="A21" i="5"/>
  <c r="A17" i="5"/>
  <c r="A13" i="5"/>
  <c r="A9" i="5"/>
  <c r="A5" i="5"/>
  <c r="A12" i="5"/>
  <c r="A20" i="5"/>
  <c r="A28" i="5"/>
  <c r="D23" i="6" l="1"/>
  <c r="C14" i="5"/>
  <c r="D26" i="6"/>
  <c r="D12" i="6"/>
  <c r="C17" i="1"/>
  <c r="E27" i="5"/>
  <c r="E9" i="5"/>
  <c r="E4" i="5"/>
  <c r="E30" i="5"/>
  <c r="E11" i="5"/>
  <c r="E31" i="5"/>
  <c r="E21" i="5"/>
  <c r="E24" i="5"/>
  <c r="E15" i="5"/>
  <c r="E5" i="5"/>
  <c r="E26" i="5"/>
  <c r="E8" i="5"/>
  <c r="E17" i="5"/>
  <c r="E29" i="5"/>
  <c r="E10" i="5"/>
  <c r="E19" i="5"/>
  <c r="E12" i="5"/>
  <c r="E18" i="5"/>
  <c r="E21" i="1"/>
  <c r="B16" i="5"/>
  <c r="B19" i="1"/>
  <c r="D42" i="2"/>
  <c r="H3" i="5"/>
  <c r="H15" i="5" s="1"/>
  <c r="H17" i="2"/>
  <c r="H11" i="2"/>
  <c r="H18" i="2"/>
  <c r="B29" i="5"/>
  <c r="G29" i="5" s="1"/>
  <c r="B24" i="5"/>
  <c r="B19" i="5"/>
  <c r="B15" i="5"/>
  <c r="B10" i="5"/>
  <c r="G10" i="5" s="1"/>
  <c r="G11" i="1" s="1"/>
  <c r="B5" i="5"/>
  <c r="B31" i="5"/>
  <c r="B26" i="5"/>
  <c r="B21" i="5"/>
  <c r="G21" i="5" s="1"/>
  <c r="G22" i="1" s="1"/>
  <c r="B17" i="5"/>
  <c r="B8" i="5"/>
  <c r="B27" i="5"/>
  <c r="B9" i="5"/>
  <c r="G9" i="5" s="1"/>
  <c r="G10" i="1" s="1"/>
  <c r="B30" i="5"/>
  <c r="B11" i="5"/>
  <c r="B4" i="5"/>
  <c r="B6" i="5"/>
  <c r="F26" i="6"/>
  <c r="D16" i="5"/>
  <c r="D19" i="1"/>
  <c r="E43" i="2"/>
  <c r="E14" i="5"/>
  <c r="E16" i="5"/>
  <c r="D31" i="5"/>
  <c r="D26" i="5"/>
  <c r="D21" i="5"/>
  <c r="D17" i="5"/>
  <c r="D8" i="5"/>
  <c r="D29" i="5"/>
  <c r="D24" i="5"/>
  <c r="D19" i="5"/>
  <c r="D15" i="5"/>
  <c r="D10" i="5"/>
  <c r="D5" i="5"/>
  <c r="D30" i="5"/>
  <c r="D11" i="5"/>
  <c r="D4" i="5"/>
  <c r="D6" i="5"/>
  <c r="D9" i="5"/>
  <c r="D27" i="5"/>
  <c r="E6" i="5"/>
  <c r="D12" i="5"/>
  <c r="C30" i="5"/>
  <c r="C11" i="5"/>
  <c r="C27" i="5"/>
  <c r="C9" i="5"/>
  <c r="C4" i="5"/>
  <c r="C29" i="5"/>
  <c r="C19" i="5"/>
  <c r="C10" i="5"/>
  <c r="C31" i="5"/>
  <c r="C21" i="5"/>
  <c r="C24" i="5"/>
  <c r="C5" i="5"/>
  <c r="C15" i="5"/>
  <c r="C26" i="5"/>
  <c r="C8" i="5"/>
  <c r="C17" i="5"/>
  <c r="C12" i="5"/>
  <c r="G26" i="6"/>
  <c r="G12" i="6"/>
  <c r="F14" i="5"/>
  <c r="F17" i="1"/>
  <c r="G23" i="6"/>
  <c r="C11" i="6"/>
  <c r="F16" i="5" l="1"/>
  <c r="F19" i="1"/>
  <c r="H12" i="5"/>
  <c r="H31" i="5"/>
  <c r="H32" i="1" s="1"/>
  <c r="E11" i="6"/>
  <c r="D43" i="2"/>
  <c r="E26" i="6"/>
  <c r="F22" i="6"/>
  <c r="E20" i="5"/>
  <c r="F24" i="6"/>
  <c r="E23" i="1"/>
  <c r="B4" i="4" a="1"/>
  <c r="H5" i="5"/>
  <c r="H6" i="1" s="1"/>
  <c r="H10" i="5"/>
  <c r="H11" i="1" s="1"/>
  <c r="H9" i="5"/>
  <c r="H10" i="1" s="1"/>
  <c r="D18" i="5"/>
  <c r="D21" i="1"/>
  <c r="G4" i="5"/>
  <c r="G5" i="1" s="1"/>
  <c r="G27" i="5"/>
  <c r="G28" i="1" s="1"/>
  <c r="G26" i="5"/>
  <c r="H26" i="5" s="1"/>
  <c r="H27" i="5"/>
  <c r="H28" i="1" s="1"/>
  <c r="G11" i="5"/>
  <c r="G12" i="1" s="1"/>
  <c r="G8" i="5"/>
  <c r="G9" i="1" s="1"/>
  <c r="G31" i="5"/>
  <c r="G32" i="1" s="1"/>
  <c r="B18" i="5"/>
  <c r="B21" i="1"/>
  <c r="H21" i="5"/>
  <c r="H22" i="1" s="1"/>
  <c r="H29" i="5"/>
  <c r="G12" i="5"/>
  <c r="G30" i="5"/>
  <c r="G31" i="1" s="1"/>
  <c r="G17" i="5"/>
  <c r="G18" i="1" s="1"/>
  <c r="G5" i="5"/>
  <c r="G6" i="1" s="1"/>
  <c r="G24" i="5"/>
  <c r="G25" i="1" s="1"/>
  <c r="C16" i="5"/>
  <c r="C19" i="1"/>
  <c r="C18" i="5" l="1"/>
  <c r="C21" i="1"/>
  <c r="H17" i="5"/>
  <c r="H18" i="1" s="1"/>
  <c r="H24" i="5"/>
  <c r="H25" i="1" s="1"/>
  <c r="C4" i="4"/>
  <c r="B4" i="4"/>
  <c r="F4" i="4"/>
  <c r="E4" i="4"/>
  <c r="D4" i="4"/>
  <c r="H30" i="5"/>
  <c r="H31" i="1" s="1"/>
  <c r="F18" i="5"/>
  <c r="F21" i="1"/>
  <c r="E24" i="6"/>
  <c r="E22" i="6"/>
  <c r="D20" i="5"/>
  <c r="D23" i="1"/>
  <c r="H11" i="5"/>
  <c r="H12" i="1" s="1"/>
  <c r="C22" i="6"/>
  <c r="C24" i="6"/>
  <c r="B20" i="5"/>
  <c r="B23" i="1"/>
  <c r="G13" i="1"/>
  <c r="H8" i="5"/>
  <c r="H9" i="1" s="1"/>
  <c r="H13" i="1" s="1"/>
  <c r="G7" i="1"/>
  <c r="E22" i="5"/>
  <c r="F25" i="6"/>
  <c r="E8" i="3"/>
  <c r="E25" i="3" s="1"/>
  <c r="E27" i="3" s="1"/>
  <c r="E26" i="1"/>
  <c r="E25" i="5" s="1"/>
  <c r="H4" i="5"/>
  <c r="H5" i="1" s="1"/>
  <c r="H7" i="1" s="1"/>
  <c r="G22" i="6" l="1"/>
  <c r="G24" i="6"/>
  <c r="F20" i="5"/>
  <c r="F23" i="1"/>
  <c r="B37" i="4"/>
  <c r="B39" i="4"/>
  <c r="B32" i="4"/>
  <c r="B20" i="4"/>
  <c r="B11" i="4"/>
  <c r="B7" i="4"/>
  <c r="B28" i="4"/>
  <c r="B25" i="4"/>
  <c r="B22" i="4"/>
  <c r="B19" i="4"/>
  <c r="B8" i="4"/>
  <c r="B36" i="4"/>
  <c r="B38" i="4"/>
  <c r="B21" i="4"/>
  <c r="B18" i="4"/>
  <c r="B14" i="4"/>
  <c r="B34" i="4"/>
  <c r="B31" i="4"/>
  <c r="B17" i="4"/>
  <c r="B13" i="4"/>
  <c r="B10" i="4"/>
  <c r="B33" i="4"/>
  <c r="B12" i="4"/>
  <c r="B9" i="4"/>
  <c r="B6" i="4"/>
  <c r="B30" i="4"/>
  <c r="B26" i="4"/>
  <c r="B27" i="4"/>
  <c r="B15" i="4"/>
  <c r="B40" i="4"/>
  <c r="B23" i="4"/>
  <c r="C20" i="5"/>
  <c r="D24" i="6"/>
  <c r="D22" i="6"/>
  <c r="C23" i="1"/>
  <c r="G6" i="5"/>
  <c r="G15" i="1"/>
  <c r="E25" i="6"/>
  <c r="D22" i="5"/>
  <c r="D26" i="1"/>
  <c r="D25" i="5" s="1"/>
  <c r="D8" i="3"/>
  <c r="E36" i="4"/>
  <c r="E38" i="4"/>
  <c r="E37" i="4"/>
  <c r="E31" i="4"/>
  <c r="E26" i="4"/>
  <c r="E19" i="4"/>
  <c r="E14" i="4"/>
  <c r="E6" i="4"/>
  <c r="E20" i="4"/>
  <c r="E17" i="4"/>
  <c r="E13" i="4"/>
  <c r="E28" i="4"/>
  <c r="E39" i="4"/>
  <c r="E33" i="4"/>
  <c r="E30" i="4"/>
  <c r="E12" i="4"/>
  <c r="E9" i="4"/>
  <c r="E32" i="4"/>
  <c r="E25" i="4"/>
  <c r="E22" i="4"/>
  <c r="E11" i="4"/>
  <c r="E8" i="4"/>
  <c r="E7" i="4"/>
  <c r="E21" i="4"/>
  <c r="E18" i="4"/>
  <c r="E40" i="4"/>
  <c r="E10" i="4"/>
  <c r="E34" i="4"/>
  <c r="E27" i="4"/>
  <c r="E23" i="4"/>
  <c r="E15" i="4"/>
  <c r="F37" i="4"/>
  <c r="F39" i="4"/>
  <c r="F38" i="4"/>
  <c r="F32" i="4"/>
  <c r="F20" i="4"/>
  <c r="F11" i="4"/>
  <c r="F7" i="4"/>
  <c r="F33" i="4"/>
  <c r="F30" i="4"/>
  <c r="F26" i="4"/>
  <c r="F12" i="4"/>
  <c r="F9" i="4"/>
  <c r="F6" i="4"/>
  <c r="F21" i="4"/>
  <c r="F36" i="4"/>
  <c r="F28" i="4"/>
  <c r="F25" i="4"/>
  <c r="F22" i="4"/>
  <c r="F19" i="4"/>
  <c r="F8" i="4"/>
  <c r="F18" i="4"/>
  <c r="F14" i="4"/>
  <c r="F31" i="4"/>
  <c r="F13" i="4"/>
  <c r="F17" i="4"/>
  <c r="F10" i="4"/>
  <c r="F40" i="4"/>
  <c r="F27" i="4"/>
  <c r="F34" i="4"/>
  <c r="F15" i="4"/>
  <c r="F23" i="4"/>
  <c r="H6" i="5"/>
  <c r="H15" i="1"/>
  <c r="C25" i="6"/>
  <c r="B8" i="3"/>
  <c r="B22" i="5"/>
  <c r="B26" i="1"/>
  <c r="B25" i="5" s="1"/>
  <c r="D39" i="4"/>
  <c r="D37" i="4"/>
  <c r="D36" i="4"/>
  <c r="D30" i="4"/>
  <c r="D25" i="4"/>
  <c r="D22" i="4"/>
  <c r="D18" i="4"/>
  <c r="D13" i="4"/>
  <c r="D9" i="4"/>
  <c r="D38" i="4"/>
  <c r="D31" i="4"/>
  <c r="D21" i="4"/>
  <c r="D7" i="4"/>
  <c r="D33" i="4"/>
  <c r="D19" i="4"/>
  <c r="D12" i="4"/>
  <c r="D26" i="4"/>
  <c r="D20" i="4"/>
  <c r="D17" i="4"/>
  <c r="D6" i="4"/>
  <c r="D11" i="4"/>
  <c r="D28" i="4"/>
  <c r="D40" i="4"/>
  <c r="D14" i="4"/>
  <c r="D8" i="4"/>
  <c r="D32" i="4"/>
  <c r="D34" i="4"/>
  <c r="D23" i="4"/>
  <c r="D10" i="4"/>
  <c r="D27" i="4"/>
  <c r="D15" i="4"/>
  <c r="C38" i="4"/>
  <c r="C36" i="4"/>
  <c r="C33" i="4"/>
  <c r="C28" i="4"/>
  <c r="C21" i="4"/>
  <c r="C17" i="4"/>
  <c r="C12" i="4"/>
  <c r="C8" i="4"/>
  <c r="C32" i="4"/>
  <c r="C18" i="4"/>
  <c r="C14" i="4"/>
  <c r="C11" i="4"/>
  <c r="C39" i="4"/>
  <c r="C20" i="4"/>
  <c r="C9" i="4"/>
  <c r="C31" i="4"/>
  <c r="C13" i="4"/>
  <c r="C7" i="4"/>
  <c r="C30" i="4"/>
  <c r="C26" i="4"/>
  <c r="C6" i="4"/>
  <c r="C37" i="4"/>
  <c r="C25" i="4"/>
  <c r="C22" i="4"/>
  <c r="C19" i="4"/>
  <c r="C15" i="4"/>
  <c r="C23" i="4"/>
  <c r="C34" i="4"/>
  <c r="C10" i="4"/>
  <c r="C27" i="4"/>
  <c r="C40" i="4"/>
  <c r="D25" i="3" l="1"/>
  <c r="D27" i="3" s="1"/>
  <c r="G20" i="4"/>
  <c r="H20" i="4" s="1"/>
  <c r="G27" i="4"/>
  <c r="H27" i="4" s="1"/>
  <c r="G13" i="4"/>
  <c r="G31" i="2" s="1"/>
  <c r="G25" i="4"/>
  <c r="H25" i="4" s="1"/>
  <c r="G25" i="6"/>
  <c r="F22" i="5"/>
  <c r="F8" i="3"/>
  <c r="F25" i="3" s="1"/>
  <c r="F27" i="3" s="1"/>
  <c r="F26" i="1"/>
  <c r="F25" i="5" s="1"/>
  <c r="G25" i="5" s="1"/>
  <c r="D25" i="6"/>
  <c r="C22" i="5"/>
  <c r="C8" i="3"/>
  <c r="C26" i="1"/>
  <c r="C25" i="5" s="1"/>
  <c r="G26" i="4"/>
  <c r="H26" i="4" s="1"/>
  <c r="G12" i="4"/>
  <c r="G30" i="2" s="1"/>
  <c r="G17" i="4"/>
  <c r="G35" i="2" s="1"/>
  <c r="G18" i="4"/>
  <c r="G8" i="4"/>
  <c r="G26" i="2" s="1"/>
  <c r="G28" i="4"/>
  <c r="H28" i="4" s="1"/>
  <c r="G32" i="4"/>
  <c r="G12" i="2" s="1"/>
  <c r="H18" i="4"/>
  <c r="G40" i="4"/>
  <c r="H40" i="4" s="1"/>
  <c r="G33" i="4"/>
  <c r="G13" i="2" s="1"/>
  <c r="G31" i="4"/>
  <c r="H31" i="4" s="1"/>
  <c r="G21" i="4"/>
  <c r="G39" i="2" s="1"/>
  <c r="G19" i="4"/>
  <c r="H19" i="4" s="1"/>
  <c r="G7" i="4"/>
  <c r="G25" i="2" s="1"/>
  <c r="G39" i="4"/>
  <c r="G19" i="2" s="1"/>
  <c r="G9" i="4"/>
  <c r="G27" i="2" s="1"/>
  <c r="G14" i="4"/>
  <c r="G32" i="2" s="1"/>
  <c r="G23" i="4"/>
  <c r="H23" i="4" s="1"/>
  <c r="H13" i="4"/>
  <c r="H17" i="1"/>
  <c r="H14" i="5"/>
  <c r="G14" i="5"/>
  <c r="G17" i="1"/>
  <c r="G15" i="4"/>
  <c r="H15" i="4" s="1"/>
  <c r="G6" i="4"/>
  <c r="H6" i="4" s="1"/>
  <c r="H24" i="2" s="1"/>
  <c r="G10" i="4"/>
  <c r="H10" i="4" s="1"/>
  <c r="G34" i="4"/>
  <c r="H34" i="4" s="1"/>
  <c r="G38" i="4"/>
  <c r="H38" i="4" s="1"/>
  <c r="G22" i="4"/>
  <c r="G40" i="2" s="1"/>
  <c r="G11" i="4"/>
  <c r="G29" i="2" s="1"/>
  <c r="G37" i="4"/>
  <c r="H37" i="4" s="1"/>
  <c r="C25" i="3" l="1"/>
  <c r="C27" i="3" s="1"/>
  <c r="H33" i="4"/>
  <c r="H31" i="2"/>
  <c r="H21" i="4"/>
  <c r="H32" i="4"/>
  <c r="H12" i="2" s="1"/>
  <c r="H14" i="2" s="1"/>
  <c r="H17" i="4"/>
  <c r="H35" i="2" s="1"/>
  <c r="H11" i="4"/>
  <c r="H29" i="2" s="1"/>
  <c r="G16" i="5"/>
  <c r="G19" i="1"/>
  <c r="G28" i="2"/>
  <c r="G33" i="2" s="1"/>
  <c r="H12" i="4"/>
  <c r="H30" i="2" s="1"/>
  <c r="H22" i="4"/>
  <c r="H16" i="5"/>
  <c r="H19" i="1"/>
  <c r="H14" i="4"/>
  <c r="H32" i="2" s="1"/>
  <c r="G20" i="2"/>
  <c r="H39" i="4"/>
  <c r="H19" i="2" s="1"/>
  <c r="H20" i="2" s="1"/>
  <c r="H8" i="4"/>
  <c r="H26" i="2" s="1"/>
  <c r="H13" i="2"/>
  <c r="H25" i="5"/>
  <c r="H7" i="4"/>
  <c r="H25" i="2" s="1"/>
  <c r="G14" i="2"/>
  <c r="H9" i="4"/>
  <c r="H27" i="2" s="1"/>
  <c r="H28" i="2" l="1"/>
  <c r="H33" i="2" s="1"/>
  <c r="G18" i="5"/>
  <c r="G20" i="1"/>
  <c r="G19" i="5" s="1"/>
  <c r="H18" i="5"/>
  <c r="H20" i="1"/>
  <c r="H19" i="5" s="1"/>
  <c r="H21" i="1"/>
  <c r="H20" i="5" l="1"/>
  <c r="H23" i="1"/>
  <c r="G21" i="1"/>
  <c r="G20" i="5" l="1"/>
  <c r="G23" i="1"/>
  <c r="H26" i="1"/>
  <c r="H22" i="5"/>
  <c r="G22" i="5" l="1"/>
  <c r="G26" i="1"/>
  <c r="G7" i="2" l="1"/>
  <c r="G21" i="2" s="1"/>
  <c r="H6" i="2"/>
  <c r="H7" i="2" s="1"/>
  <c r="H21" i="2" s="1"/>
  <c r="H41" i="2" l="1"/>
  <c r="H42" i="2" s="1"/>
  <c r="H4" i="4" s="1"/>
  <c r="G38" i="2"/>
  <c r="G41" i="2" s="1"/>
  <c r="G42" i="2" s="1"/>
  <c r="G4" i="4" s="1"/>
  <c r="G36" i="4" l="1"/>
  <c r="G30" i="4"/>
  <c r="G43" i="2"/>
  <c r="H43" i="2"/>
  <c r="H30" i="4"/>
  <c r="H36" i="4"/>
</calcChain>
</file>

<file path=xl/sharedStrings.xml><?xml version="1.0" encoding="utf-8"?>
<sst xmlns="http://schemas.openxmlformats.org/spreadsheetml/2006/main" count="188" uniqueCount="136">
  <si>
    <t>TATA STEEL LIMITED — Consolidated Profit &amp; Loss Statement  (₹ in Crores)</t>
  </si>
  <si>
    <t>Particulars</t>
  </si>
  <si>
    <t>INCOME</t>
  </si>
  <si>
    <t>Growth rate-</t>
  </si>
  <si>
    <t>Sales Turnover</t>
  </si>
  <si>
    <t>Stock Adjustments</t>
  </si>
  <si>
    <t>Total Income</t>
  </si>
  <si>
    <t>EXPENDITURE</t>
  </si>
  <si>
    <t>Raw Materials</t>
  </si>
  <si>
    <t>Power &amp; Fuel Cost</t>
  </si>
  <si>
    <t>Employee Cost</t>
  </si>
  <si>
    <t>Miscellaneous Expenses</t>
  </si>
  <si>
    <t>COGS</t>
  </si>
  <si>
    <t>PROFITABILITY</t>
  </si>
  <si>
    <t>Operating Profit (EBITDA)</t>
  </si>
  <si>
    <t>Less: Interest</t>
  </si>
  <si>
    <t>PBDT</t>
  </si>
  <si>
    <t>Less: Depreciation</t>
  </si>
  <si>
    <t>Profit Before Tax (PBT)</t>
  </si>
  <si>
    <t>Tax (incl. Deferred Tax)</t>
  </si>
  <si>
    <t>PAT</t>
  </si>
  <si>
    <t>Less: Non-Controlling Interest</t>
  </si>
  <si>
    <t>Reported Net Profit</t>
  </si>
  <si>
    <t>PER SHARE DATA</t>
  </si>
  <si>
    <t>Shares in Issue (Lakhs)</t>
  </si>
  <si>
    <t>Earnings Per Share (₹)</t>
  </si>
  <si>
    <t>Book Value Per Share (₹)</t>
  </si>
  <si>
    <t>Equity Dividend (₹ Cr)</t>
  </si>
  <si>
    <t>OTHER METRICS</t>
  </si>
  <si>
    <t>Share of P/L of Associates</t>
  </si>
  <si>
    <t>Net P/L after MI &amp; Associates</t>
  </si>
  <si>
    <t>Total Value Addition</t>
  </si>
  <si>
    <t>TATA STEEL LIMITED — Consolidated Balance Sheet  (₹ in Crores)</t>
  </si>
  <si>
    <t>EQUITY AND LIABILITIES</t>
  </si>
  <si>
    <t>Shareholders' Funds</t>
  </si>
  <si>
    <t>Equity Share Capital</t>
  </si>
  <si>
    <t>Reserves and Surplus</t>
  </si>
  <si>
    <t>Total Shareholders' Funds</t>
  </si>
  <si>
    <t>Minority Interest</t>
  </si>
  <si>
    <t>Non-Current Liabilities</t>
  </si>
  <si>
    <t>Long Term Borrowings</t>
  </si>
  <si>
    <t>Deferred Tax Liabilities (Net)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</si>
  <si>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</si>
  <si>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</si>
  <si>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</si>
  <si>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</si>
  <si>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</si>
  <si>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</si>
  <si>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</si>
  <si>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</si>
  <si>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</si>
  <si>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EQUITY AND LIABILITIES</t>
  </si>
  <si>
    <t>ASSETS</t>
  </si>
  <si>
    <t>Non-Current Assets</t>
  </si>
  <si>
    <t>Tangible Assets</t>
  </si>
  <si>
    <t>Intangible Assets</t>
  </si>
  <si>
    <t>Intangible Assets Under Development</t>
  </si>
  <si>
    <t>Capital Work-In-Progress</t>
  </si>
  <si>
    <t>Total Fixed Assets</t>
  </si>
  <si>
    <t>Non-Current Investments</t>
  </si>
  <si>
    <t>Deferred Tax Assets (Net)</t>
  </si>
  <si>
    <t>Long Term Loans &amp;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</si>
  <si>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</si>
  <si>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</si>
  <si>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</si>
  <si>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</si>
  <si>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</si>
  <si>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</si>
  <si>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</si>
  <si>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&amp; Advances</t>
  </si>
  <si>
    <t>Other Current Assets</t>
  </si>
  <si>
    <t>Total Current Assets</t>
  </si>
  <si>
    <t>TOTAL ASSETS</t>
  </si>
  <si>
    <t>TATA STEEL LIMITED — Consolidated Cash Flow Statement  (₹ in Crores)</t>
  </si>
  <si>
    <t>A. OPERATING ACTIVITIES</t>
  </si>
  <si>
    <t>Net Earnings</t>
  </si>
  <si>
    <t>Add: Depreciation &amp; Amortisation</t>
  </si>
  <si>
    <t>Less: Other Income</t>
  </si>
  <si>
    <t>Change in Working Capital</t>
  </si>
  <si>
    <t>0</t>
  </si>
  <si>
    <t>Cash from Operations</t>
  </si>
  <si>
    <t>B. INVESTING ACTIVITIES</t>
  </si>
  <si>
    <t>Change in Tangible Assets</t>
  </si>
  <si>
    <t>Change in Intangible Assets</t>
  </si>
  <si>
    <t>Change in CWIP</t>
  </si>
  <si>
    <t>Change in Investments</t>
  </si>
  <si>
    <t>Change in Other NCA</t>
  </si>
  <si>
    <t>Change in Current Investments</t>
  </si>
  <si>
    <t>Cash from Investing</t>
  </si>
  <si>
    <t>C. FINANCING ACTIVITIES</t>
  </si>
  <si>
    <t>LT Debt Change</t>
  </si>
  <si>
    <t>ST Debt Change</t>
  </si>
  <si>
    <t>Equity Issued</t>
  </si>
  <si>
    <t>Minority Interest Change</t>
  </si>
  <si>
    <t>Dividends Paid</t>
  </si>
  <si>
    <t>Cash from Financing</t>
  </si>
  <si>
    <t>NET CHANGE IN CASH</t>
  </si>
  <si>
    <t>Net Increase / (Decrease) in Cash</t>
  </si>
  <si>
    <t>Opening Cash Balance</t>
  </si>
  <si>
    <t>Closing Cash Balance</t>
  </si>
  <si>
    <t>TATA STEEL LIMITED — CommanSize Balance Sheet  (₹ in Crores)</t>
  </si>
  <si>
    <t>TATA STEEL LIMITED —CommanSize Profit &amp; Loss Statement  (₹ in Crores)</t>
  </si>
  <si>
    <t>TATA STEEL LIMITED —Ratio Analysis  (₹ in Crores)</t>
  </si>
  <si>
    <t>Sr.no</t>
  </si>
  <si>
    <t>Liquidity Ratio</t>
  </si>
  <si>
    <t>Current Ratio</t>
  </si>
  <si>
    <t>Quick Ratio</t>
  </si>
  <si>
    <t>Cash Ratio</t>
  </si>
  <si>
    <t>Defensive Internal Ratio</t>
  </si>
  <si>
    <t xml:space="preserve"> Cash Conversion Cycle</t>
  </si>
  <si>
    <t>Solvency Ratio</t>
  </si>
  <si>
    <t>Debt to Equity Ratio</t>
  </si>
  <si>
    <t>Financial Leverage</t>
  </si>
  <si>
    <t>Activity Ratio</t>
  </si>
  <si>
    <t>Receivable Turnover ratio</t>
  </si>
  <si>
    <t>Days sales Outstanding</t>
  </si>
  <si>
    <t>Inventory Turnover ratio</t>
  </si>
  <si>
    <t>Days on Inventory in hand</t>
  </si>
  <si>
    <t>Fixed Asset Turnover</t>
  </si>
  <si>
    <t>Payable Ratio</t>
  </si>
  <si>
    <t>Payable Days</t>
  </si>
  <si>
    <t>Profitability Ratio</t>
  </si>
  <si>
    <t>Net Profit Margin</t>
  </si>
  <si>
    <t>Operating Profit Margin</t>
  </si>
  <si>
    <t>Return On Asset</t>
  </si>
  <si>
    <t>Return On Equity</t>
  </si>
  <si>
    <t>Return on Capital Employed</t>
  </si>
  <si>
    <t>Non-operating income</t>
  </si>
  <si>
    <t>FY '21</t>
  </si>
  <si>
    <t>FY '22</t>
  </si>
  <si>
    <t>FY '23</t>
  </si>
  <si>
    <t>FY '24</t>
  </si>
  <si>
    <t>FY '25</t>
  </si>
  <si>
    <t>Forecast FY'26</t>
  </si>
  <si>
    <t>Forecast FY'27</t>
  </si>
  <si>
    <t>Interest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</si>
</sst>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6" x14ac:knownFonts="1">
    <font>
      <sz val="11"/>
      <color rgb="FF000000"/>
      <name val="Calibri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rgb="FFFFFFFF"/>
      <name val="Arial"/>
      <charset val="1"/>
    </font>
    <font>
      <b/>
      <sz val="10"/>
      <color rgb="FFFFFFFF"/>
      <name val="Arial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EEECE1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FFFFFF"/>
      <name val="Arial"/>
      <charset val="1"/>
    </font>
    <font>
      <b/>
      <sz val="10"/>
      <color rgb="FF1F4E79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0"/>
      <color rgb="FFFF0000"/>
      <name val="Arial"/>
      <family val="2"/>
      <charset val="1"/>
    </font>
    <font>
      <i/>
      <sz val="9"/>
      <color rgb="FF7F7F7F"/>
      <name val="Arial"/>
      <charset val="1"/>
    </font>
    <font>
      <b/>
      <sz val="18"/>
      <color rgb="FFFFFFFF"/>
      <name val="Arial"/>
      <family val="2"/>
      <charset val="1"/>
    </font>
    <font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6"/>
      <color rgb="FFFFFFFF"/>
      <name val="Arial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4"/>
      <color rgb="FFFFFFFF"/>
      <name val="Arial"/>
      <family val="2"/>
    </font>
    <font>
      <b/>
      <sz val="16"/>
      <color rgb="FFFFFFFF"/>
      <name val="Arial"/>
      <family val="2"/>
    </font>
    <font>
      <b/>
      <sz val="9"/>
      <color rgb="FFFFFFFF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FFFFFF"/>
      <name val="Arial"/>
      <family val="2"/>
    </font>
    <font>
      <sz val="9"/>
      <color rgb="FF00000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376092"/>
        <bgColor rgb="FF2E75B6"/>
      </patternFill>
    </fill>
    <fill>
      <patternFill patternType="solid">
        <fgColor rgb="FF1F4E79"/>
        <bgColor rgb="FF1F497D"/>
      </patternFill>
    </fill>
    <fill>
      <patternFill patternType="solid">
        <fgColor rgb="FF1F497D"/>
        <bgColor rgb="FF1F4E79"/>
      </patternFill>
    </fill>
    <fill>
      <patternFill patternType="solid">
        <fgColor rgb="FF558ED5"/>
        <bgColor rgb="FF4F81BD"/>
      </patternFill>
    </fill>
    <fill>
      <patternFill patternType="solid">
        <fgColor rgb="FFB9CDE5"/>
        <bgColor rgb="FFC3D69B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EECE1"/>
      </patternFill>
    </fill>
    <fill>
      <patternFill patternType="solid">
        <fgColor rgb="FFFCE4D6"/>
        <bgColor rgb="FFEEECE1"/>
      </patternFill>
    </fill>
    <fill>
      <patternFill patternType="solid">
        <fgColor rgb="FF2E75B6"/>
        <bgColor rgb="FF4F81BD"/>
      </patternFill>
    </fill>
    <fill>
      <patternFill patternType="solid">
        <fgColor rgb="FF70AD47"/>
        <bgColor rgb="FF77933C"/>
      </patternFill>
    </fill>
    <fill>
      <patternFill patternType="solid">
        <fgColor rgb="FF95B3D7"/>
        <bgColor rgb="FF8EB4E3"/>
      </patternFill>
    </fill>
    <fill>
      <patternFill patternType="solid">
        <fgColor rgb="FFFCD5B5"/>
        <bgColor rgb="FFFCE4D6"/>
      </patternFill>
    </fill>
    <fill>
      <patternFill patternType="solid">
        <fgColor rgb="FFC3D69B"/>
        <bgColor rgb="FFB9CDE5"/>
      </patternFill>
    </fill>
    <fill>
      <patternFill patternType="solid">
        <fgColor rgb="FF4F81BD"/>
        <bgColor rgb="FF558ED5"/>
      </patternFill>
    </fill>
    <fill>
      <patternFill patternType="solid">
        <fgColor rgb="FFDCE6F2"/>
        <bgColor rgb="FFEEECE1"/>
      </patternFill>
    </fill>
    <fill>
      <patternFill patternType="solid">
        <fgColor rgb="FFFFFFD0"/>
        <bgColor rgb="FFFFFFFF"/>
      </patternFill>
    </fill>
    <fill>
      <patternFill patternType="solid">
        <fgColor rgb="FF77933C"/>
        <bgColor rgb="FF70AD47"/>
      </patternFill>
    </fill>
    <fill>
      <patternFill patternType="solid">
        <fgColor rgb="FF8EB4E3"/>
        <bgColor rgb="FF95B3D7"/>
      </patternFill>
    </fill>
    <fill>
      <patternFill patternType="solid">
        <fgColor rgb="FF17375E"/>
        <bgColor rgb="FF1F497D"/>
      </patternFill>
    </fill>
  </fills>
  <borders count="3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FFFFFF"/>
      </left>
      <right/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AAAAAA"/>
      </bottom>
      <diagonal/>
    </border>
    <border>
      <left style="thin">
        <color rgb="FFFFFFFF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medium">
        <color rgb="FF555555"/>
      </top>
      <bottom/>
      <diagonal/>
    </border>
    <border>
      <left style="thin">
        <color rgb="FFAAAAAA"/>
      </left>
      <right style="thin">
        <color rgb="FFAAAAAA"/>
      </right>
      <top style="medium">
        <color rgb="FF555555"/>
      </top>
      <bottom/>
      <diagonal/>
    </border>
    <border>
      <left style="thin">
        <color rgb="FFAAAAAA"/>
      </left>
      <right/>
      <top style="medium">
        <color rgb="FF555555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555555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FFFFFF"/>
      </left>
      <right/>
      <top style="thin">
        <color auto="1"/>
      </top>
      <bottom/>
      <diagonal/>
    </border>
    <border>
      <left style="thin">
        <color rgb="FFFFFF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auto="1"/>
      </right>
      <top style="thin">
        <color rgb="FFFFFFF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rgb="FFFFFFFF"/>
      </top>
      <bottom style="thin">
        <color auto="1"/>
      </bottom>
      <diagonal/>
    </border>
  </borders>
  <cellStyleXfs count="2">
    <xf numFmtId="0" fontId="0" fillId="0" borderId="0"/>
    <xf numFmtId="9" fontId="18" fillId="0" borderId="0" applyBorder="0" applyProtection="0"/>
  </cellStyleXfs>
  <cellXfs count="174">
    <xf numFmtId="0" fontId="0" fillId="0" borderId="0" xfId="0"/>
    <xf numFmtId="4" fontId="0" fillId="0" borderId="0" xfId="0" applyNumberFormat="1"/>
    <xf numFmtId="4" fontId="0" fillId="2" borderId="0" xfId="0" applyNumberFormat="1" applyFill="1"/>
    <xf numFmtId="4" fontId="2" fillId="3" borderId="1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left" vertical="center"/>
    </xf>
    <xf numFmtId="4" fontId="4" fillId="5" borderId="2" xfId="0" applyNumberFormat="1" applyFont="1" applyFill="1" applyBorder="1"/>
    <xf numFmtId="4" fontId="4" fillId="5" borderId="3" xfId="0" applyNumberFormat="1" applyFont="1" applyFill="1" applyBorder="1"/>
    <xf numFmtId="4" fontId="5" fillId="5" borderId="3" xfId="0" applyNumberFormat="1" applyFont="1" applyFill="1" applyBorder="1"/>
    <xf numFmtId="10" fontId="6" fillId="6" borderId="4" xfId="1" applyNumberFormat="1" applyFont="1" applyFill="1" applyBorder="1" applyAlignment="1" applyProtection="1">
      <alignment horizontal="right" vertical="center"/>
    </xf>
    <xf numFmtId="4" fontId="6" fillId="7" borderId="5" xfId="0" applyNumberFormat="1" applyFont="1" applyFill="1" applyBorder="1" applyAlignment="1">
      <alignment horizontal="left" vertical="center"/>
    </xf>
    <xf numFmtId="4" fontId="6" fillId="7" borderId="4" xfId="0" applyNumberFormat="1" applyFont="1" applyFill="1" applyBorder="1" applyAlignment="1">
      <alignment horizontal="right" vertical="center"/>
    </xf>
    <xf numFmtId="4" fontId="0" fillId="0" borderId="4" xfId="0" applyNumberFormat="1" applyBorder="1"/>
    <xf numFmtId="4" fontId="0" fillId="0" borderId="6" xfId="0" applyNumberFormat="1" applyBorder="1"/>
    <xf numFmtId="4" fontId="6" fillId="8" borderId="7" xfId="0" applyNumberFormat="1" applyFont="1" applyFill="1" applyBorder="1" applyAlignment="1">
      <alignment horizontal="left" vertical="center"/>
    </xf>
    <xf numFmtId="4" fontId="6" fillId="8" borderId="8" xfId="0" applyNumberFormat="1" applyFont="1" applyFill="1" applyBorder="1" applyAlignment="1">
      <alignment horizontal="right" vertical="center"/>
    </xf>
    <xf numFmtId="4" fontId="0" fillId="0" borderId="8" xfId="0" applyNumberFormat="1" applyBorder="1"/>
    <xf numFmtId="4" fontId="0" fillId="0" borderId="9" xfId="0" applyNumberFormat="1" applyBorder="1"/>
    <xf numFmtId="4" fontId="6" fillId="7" borderId="7" xfId="0" applyNumberFormat="1" applyFont="1" applyFill="1" applyBorder="1" applyAlignment="1">
      <alignment horizontal="left" vertical="center"/>
    </xf>
    <xf numFmtId="4" fontId="6" fillId="7" borderId="8" xfId="0" applyNumberFormat="1" applyFont="1" applyFill="1" applyBorder="1" applyAlignment="1">
      <alignment horizontal="right" vertical="center"/>
    </xf>
    <xf numFmtId="4" fontId="7" fillId="9" borderId="7" xfId="0" applyNumberFormat="1" applyFont="1" applyFill="1" applyBorder="1" applyAlignment="1">
      <alignment horizontal="left" vertical="center"/>
    </xf>
    <xf numFmtId="4" fontId="7" fillId="9" borderId="8" xfId="0" applyNumberFormat="1" applyFont="1" applyFill="1" applyBorder="1" applyAlignment="1">
      <alignment horizontal="right" vertical="center"/>
    </xf>
    <xf numFmtId="4" fontId="7" fillId="9" borderId="9" xfId="0" applyNumberFormat="1" applyFont="1" applyFill="1" applyBorder="1" applyAlignment="1">
      <alignment horizontal="right" vertical="center"/>
    </xf>
    <xf numFmtId="4" fontId="3" fillId="10" borderId="7" xfId="0" applyNumberFormat="1" applyFont="1" applyFill="1" applyBorder="1" applyAlignment="1">
      <alignment horizontal="left" vertical="center"/>
    </xf>
    <xf numFmtId="4" fontId="0" fillId="5" borderId="8" xfId="0" applyNumberFormat="1" applyFill="1" applyBorder="1"/>
    <xf numFmtId="4" fontId="0" fillId="5" borderId="9" xfId="0" applyNumberFormat="1" applyFill="1" applyBorder="1"/>
    <xf numFmtId="4" fontId="6" fillId="7" borderId="9" xfId="0" applyNumberFormat="1" applyFont="1" applyFill="1" applyBorder="1" applyAlignment="1">
      <alignment horizontal="right" vertical="center"/>
    </xf>
    <xf numFmtId="4" fontId="7" fillId="8" borderId="7" xfId="0" applyNumberFormat="1" applyFont="1" applyFill="1" applyBorder="1" applyAlignment="1">
      <alignment horizontal="left" vertical="center"/>
    </xf>
    <xf numFmtId="4" fontId="7" fillId="8" borderId="8" xfId="0" applyNumberFormat="1" applyFont="1" applyFill="1" applyBorder="1" applyAlignment="1">
      <alignment horizontal="right" vertical="center"/>
    </xf>
    <xf numFmtId="4" fontId="7" fillId="8" borderId="9" xfId="0" applyNumberFormat="1" applyFont="1" applyFill="1" applyBorder="1" applyAlignment="1">
      <alignment horizontal="right" vertical="center"/>
    </xf>
    <xf numFmtId="4" fontId="0" fillId="6" borderId="7" xfId="0" applyNumberFormat="1" applyFill="1" applyBorder="1"/>
    <xf numFmtId="4" fontId="0" fillId="6" borderId="8" xfId="0" applyNumberFormat="1" applyFill="1" applyBorder="1"/>
    <xf numFmtId="4" fontId="0" fillId="6" borderId="9" xfId="0" applyNumberFormat="1" applyFill="1" applyBorder="1"/>
    <xf numFmtId="4" fontId="3" fillId="11" borderId="7" xfId="0" applyNumberFormat="1" applyFont="1" applyFill="1" applyBorder="1" applyAlignment="1">
      <alignment horizontal="left" vertical="center"/>
    </xf>
    <xf numFmtId="4" fontId="3" fillId="11" borderId="8" xfId="0" applyNumberFormat="1" applyFont="1" applyFill="1" applyBorder="1" applyAlignment="1">
      <alignment horizontal="right" vertical="center"/>
    </xf>
    <xf numFmtId="4" fontId="3" fillId="11" borderId="9" xfId="0" applyNumberFormat="1" applyFont="1" applyFill="1" applyBorder="1" applyAlignment="1">
      <alignment horizontal="right" vertical="center"/>
    </xf>
    <xf numFmtId="4" fontId="3" fillId="5" borderId="7" xfId="0" applyNumberFormat="1" applyFont="1" applyFill="1" applyBorder="1" applyAlignment="1">
      <alignment horizontal="left" vertical="center"/>
    </xf>
    <xf numFmtId="4" fontId="6" fillId="8" borderId="9" xfId="0" applyNumberFormat="1" applyFont="1" applyFill="1" applyBorder="1" applyAlignment="1">
      <alignment horizontal="right" vertical="center"/>
    </xf>
    <xf numFmtId="4" fontId="6" fillId="8" borderId="10" xfId="0" applyNumberFormat="1" applyFont="1" applyFill="1" applyBorder="1" applyAlignment="1">
      <alignment horizontal="left" vertical="center"/>
    </xf>
    <xf numFmtId="4" fontId="6" fillId="8" borderId="11" xfId="0" applyNumberFormat="1" applyFont="1" applyFill="1" applyBorder="1" applyAlignment="1">
      <alignment horizontal="right" vertical="center"/>
    </xf>
    <xf numFmtId="4" fontId="0" fillId="0" borderId="11" xfId="0" applyNumberFormat="1" applyBorder="1"/>
    <xf numFmtId="4" fontId="0" fillId="0" borderId="12" xfId="0" applyNumberFormat="1" applyBorder="1"/>
    <xf numFmtId="4" fontId="2" fillId="3" borderId="8" xfId="0" applyNumberFormat="1" applyFont="1" applyFill="1" applyBorder="1" applyAlignment="1">
      <alignment horizontal="center" vertical="center" wrapText="1"/>
    </xf>
    <xf numFmtId="4" fontId="2" fillId="3" borderId="8" xfId="0" applyNumberFormat="1" applyFont="1" applyFill="1" applyBorder="1" applyAlignment="1">
      <alignment horizontal="center" vertical="center"/>
    </xf>
    <xf numFmtId="4" fontId="3" fillId="4" borderId="8" xfId="0" applyNumberFormat="1" applyFont="1" applyFill="1" applyBorder="1" applyAlignment="1">
      <alignment horizontal="center" vertical="center" wrapText="1"/>
    </xf>
    <xf numFmtId="4" fontId="3" fillId="5" borderId="8" xfId="0" applyNumberFormat="1" applyFont="1" applyFill="1" applyBorder="1" applyAlignment="1">
      <alignment horizontal="left" vertical="center"/>
    </xf>
    <xf numFmtId="4" fontId="9" fillId="12" borderId="8" xfId="0" applyNumberFormat="1" applyFont="1" applyFill="1" applyBorder="1" applyAlignment="1">
      <alignment horizontal="left" vertical="center"/>
    </xf>
    <xf numFmtId="4" fontId="0" fillId="12" borderId="8" xfId="0" applyNumberFormat="1" applyFill="1" applyBorder="1"/>
    <xf numFmtId="4" fontId="6" fillId="8" borderId="8" xfId="0" applyNumberFormat="1" applyFont="1" applyFill="1" applyBorder="1" applyAlignment="1">
      <alignment horizontal="left" vertical="center"/>
    </xf>
    <xf numFmtId="4" fontId="6" fillId="7" borderId="8" xfId="0" applyNumberFormat="1" applyFont="1" applyFill="1" applyBorder="1" applyAlignment="1">
      <alignment horizontal="left" vertical="center"/>
    </xf>
    <xf numFmtId="4" fontId="7" fillId="9" borderId="8" xfId="0" applyNumberFormat="1" applyFont="1" applyFill="1" applyBorder="1" applyAlignment="1">
      <alignment horizontal="left" vertical="center"/>
    </xf>
    <xf numFmtId="4" fontId="7" fillId="13" borderId="8" xfId="0" applyNumberFormat="1" applyFont="1" applyFill="1" applyBorder="1" applyAlignment="1">
      <alignment horizontal="left" vertical="center"/>
    </xf>
    <xf numFmtId="4" fontId="7" fillId="13" borderId="8" xfId="0" applyNumberFormat="1" applyFont="1" applyFill="1" applyBorder="1" applyAlignment="1">
      <alignment horizontal="right" vertical="center"/>
    </xf>
    <xf numFmtId="4" fontId="3" fillId="11" borderId="8" xfId="0" applyNumberFormat="1" applyFont="1" applyFill="1" applyBorder="1" applyAlignment="1">
      <alignment horizontal="left" vertical="center"/>
    </xf>
    <xf numFmtId="4" fontId="9" fillId="6" borderId="8" xfId="0" applyNumberFormat="1" applyFont="1" applyFill="1" applyBorder="1" applyAlignment="1">
      <alignment horizontal="left" vertical="center"/>
    </xf>
    <xf numFmtId="4" fontId="7" fillId="8" borderId="8" xfId="0" applyNumberFormat="1" applyFont="1" applyFill="1" applyBorder="1" applyAlignment="1">
      <alignment horizontal="left" vertical="center"/>
    </xf>
    <xf numFmtId="4" fontId="0" fillId="14" borderId="0" xfId="0" applyNumberFormat="1" applyFill="1"/>
    <xf numFmtId="4" fontId="2" fillId="3" borderId="1" xfId="0" applyNumberFormat="1" applyFont="1" applyFill="1" applyBorder="1" applyAlignment="1">
      <alignment vertical="center" wrapText="1"/>
    </xf>
    <xf numFmtId="4" fontId="3" fillId="10" borderId="2" xfId="0" applyNumberFormat="1" applyFont="1" applyFill="1" applyBorder="1" applyAlignment="1">
      <alignment vertical="center"/>
    </xf>
    <xf numFmtId="4" fontId="4" fillId="15" borderId="2" xfId="0" applyNumberFormat="1" applyFont="1" applyFill="1" applyBorder="1"/>
    <xf numFmtId="4" fontId="4" fillId="15" borderId="3" xfId="0" applyNumberFormat="1" applyFont="1" applyFill="1" applyBorder="1"/>
    <xf numFmtId="4" fontId="4" fillId="15" borderId="15" xfId="0" applyNumberFormat="1" applyFont="1" applyFill="1" applyBorder="1"/>
    <xf numFmtId="4" fontId="6" fillId="7" borderId="2" xfId="0" applyNumberFormat="1" applyFont="1" applyFill="1" applyBorder="1" applyAlignment="1">
      <alignment horizontal="left" vertical="center"/>
    </xf>
    <xf numFmtId="4" fontId="6" fillId="7" borderId="2" xfId="0" applyNumberFormat="1" applyFont="1" applyFill="1" applyBorder="1" applyAlignment="1">
      <alignment horizontal="right" vertical="center"/>
    </xf>
    <xf numFmtId="4" fontId="6" fillId="7" borderId="16" xfId="0" applyNumberFormat="1" applyFont="1" applyFill="1" applyBorder="1" applyAlignment="1">
      <alignment horizontal="right" vertical="center"/>
    </xf>
    <xf numFmtId="4" fontId="6" fillId="8" borderId="2" xfId="0" applyNumberFormat="1" applyFont="1" applyFill="1" applyBorder="1" applyAlignment="1">
      <alignment horizontal="left" vertical="center"/>
    </xf>
    <xf numFmtId="4" fontId="6" fillId="8" borderId="2" xfId="0" applyNumberFormat="1" applyFont="1" applyFill="1" applyBorder="1" applyAlignment="1">
      <alignment horizontal="right" vertical="center"/>
    </xf>
    <xf numFmtId="4" fontId="6" fillId="8" borderId="16" xfId="0" applyNumberFormat="1" applyFont="1" applyFill="1" applyBorder="1" applyAlignment="1">
      <alignment horizontal="right" vertical="center"/>
    </xf>
    <xf numFmtId="4" fontId="11" fillId="8" borderId="2" xfId="0" applyNumberFormat="1" applyFont="1" applyFill="1" applyBorder="1" applyAlignment="1">
      <alignment horizontal="center" vertical="center"/>
    </xf>
    <xf numFmtId="4" fontId="7" fillId="9" borderId="17" xfId="0" applyNumberFormat="1" applyFont="1" applyFill="1" applyBorder="1" applyAlignment="1">
      <alignment horizontal="left" vertical="center"/>
    </xf>
    <xf numFmtId="4" fontId="7" fillId="9" borderId="17" xfId="0" applyNumberFormat="1" applyFont="1" applyFill="1" applyBorder="1" applyAlignment="1">
      <alignment horizontal="right" vertical="center"/>
    </xf>
    <xf numFmtId="4" fontId="7" fillId="9" borderId="18" xfId="0" applyNumberFormat="1" applyFont="1" applyFill="1" applyBorder="1" applyAlignment="1">
      <alignment horizontal="right" vertical="center"/>
    </xf>
    <xf numFmtId="4" fontId="0" fillId="16" borderId="2" xfId="0" applyNumberFormat="1" applyFill="1" applyBorder="1"/>
    <xf numFmtId="4" fontId="0" fillId="16" borderId="3" xfId="0" applyNumberFormat="1" applyFill="1" applyBorder="1"/>
    <xf numFmtId="4" fontId="0" fillId="16" borderId="15" xfId="0" applyNumberFormat="1" applyFill="1" applyBorder="1"/>
    <xf numFmtId="4" fontId="11" fillId="7" borderId="2" xfId="0" applyNumberFormat="1" applyFont="1" applyFill="1" applyBorder="1" applyAlignment="1">
      <alignment horizontal="center" vertical="center"/>
    </xf>
    <xf numFmtId="4" fontId="0" fillId="6" borderId="2" xfId="0" applyNumberFormat="1" applyFill="1" applyBorder="1"/>
    <xf numFmtId="4" fontId="0" fillId="6" borderId="3" xfId="0" applyNumberFormat="1" applyFill="1" applyBorder="1"/>
    <xf numFmtId="4" fontId="0" fillId="6" borderId="15" xfId="0" applyNumberFormat="1" applyFill="1" applyBorder="1"/>
    <xf numFmtId="4" fontId="3" fillId="11" borderId="17" xfId="0" applyNumberFormat="1" applyFont="1" applyFill="1" applyBorder="1" applyAlignment="1">
      <alignment horizontal="left" vertical="center"/>
    </xf>
    <xf numFmtId="4" fontId="3" fillId="11" borderId="17" xfId="0" applyNumberFormat="1" applyFont="1" applyFill="1" applyBorder="1" applyAlignment="1">
      <alignment horizontal="right" vertical="center"/>
    </xf>
    <xf numFmtId="4" fontId="3" fillId="11" borderId="18" xfId="0" applyNumberFormat="1" applyFont="1" applyFill="1" applyBorder="1" applyAlignment="1">
      <alignment horizontal="right" vertical="center"/>
    </xf>
    <xf numFmtId="4" fontId="7" fillId="8" borderId="19" xfId="0" applyNumberFormat="1" applyFont="1" applyFill="1" applyBorder="1" applyAlignment="1">
      <alignment horizontal="left" vertical="center"/>
    </xf>
    <xf numFmtId="4" fontId="7" fillId="8" borderId="19" xfId="0" applyNumberFormat="1" applyFont="1" applyFill="1" applyBorder="1" applyAlignment="1">
      <alignment horizontal="right" vertical="center"/>
    </xf>
    <xf numFmtId="4" fontId="7" fillId="8" borderId="20" xfId="0" applyNumberFormat="1" applyFont="1" applyFill="1" applyBorder="1" applyAlignment="1">
      <alignment horizontal="right" vertical="center"/>
    </xf>
    <xf numFmtId="4" fontId="12" fillId="17" borderId="0" xfId="0" applyNumberFormat="1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4" fillId="0" borderId="0" xfId="0" applyFont="1"/>
    <xf numFmtId="0" fontId="13" fillId="3" borderId="16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/>
    </xf>
    <xf numFmtId="0" fontId="15" fillId="18" borderId="21" xfId="0" applyFont="1" applyFill="1" applyBorder="1"/>
    <xf numFmtId="4" fontId="15" fillId="18" borderId="21" xfId="0" applyNumberFormat="1" applyFont="1" applyFill="1" applyBorder="1"/>
    <xf numFmtId="0" fontId="15" fillId="12" borderId="5" xfId="0" applyFont="1" applyFill="1" applyBorder="1"/>
    <xf numFmtId="0" fontId="15" fillId="12" borderId="4" xfId="0" applyFont="1" applyFill="1" applyBorder="1"/>
    <xf numFmtId="0" fontId="15" fillId="12" borderId="6" xfId="0" applyFont="1" applyFill="1" applyBorder="1"/>
    <xf numFmtId="0" fontId="15" fillId="0" borderId="7" xfId="0" applyFont="1" applyBorder="1"/>
    <xf numFmtId="164" fontId="15" fillId="0" borderId="8" xfId="1" applyNumberFormat="1" applyFont="1" applyBorder="1" applyProtection="1"/>
    <xf numFmtId="164" fontId="15" fillId="0" borderId="8" xfId="0" applyNumberFormat="1" applyFont="1" applyBorder="1"/>
    <xf numFmtId="164" fontId="15" fillId="0" borderId="9" xfId="0" applyNumberFormat="1" applyFont="1" applyBorder="1"/>
    <xf numFmtId="0" fontId="15" fillId="0" borderId="22" xfId="0" applyFont="1" applyBorder="1"/>
    <xf numFmtId="164" fontId="15" fillId="0" borderId="23" xfId="1" applyNumberFormat="1" applyFont="1" applyBorder="1" applyProtection="1"/>
    <xf numFmtId="164" fontId="15" fillId="0" borderId="23" xfId="0" applyNumberFormat="1" applyFont="1" applyBorder="1"/>
    <xf numFmtId="164" fontId="15" fillId="0" borderId="24" xfId="0" applyNumberFormat="1" applyFont="1" applyBorder="1"/>
    <xf numFmtId="0" fontId="15" fillId="0" borderId="25" xfId="0" applyFont="1" applyBorder="1"/>
    <xf numFmtId="164" fontId="15" fillId="0" borderId="26" xfId="1" applyNumberFormat="1" applyFont="1" applyBorder="1" applyProtection="1"/>
    <xf numFmtId="164" fontId="15" fillId="0" borderId="26" xfId="0" applyNumberFormat="1" applyFont="1" applyBorder="1"/>
    <xf numFmtId="164" fontId="15" fillId="0" borderId="27" xfId="0" applyNumberFormat="1" applyFont="1" applyBorder="1"/>
    <xf numFmtId="0" fontId="15" fillId="18" borderId="7" xfId="0" applyFont="1" applyFill="1" applyBorder="1"/>
    <xf numFmtId="164" fontId="15" fillId="18" borderId="8" xfId="1" applyNumberFormat="1" applyFont="1" applyFill="1" applyBorder="1" applyProtection="1"/>
    <xf numFmtId="164" fontId="15" fillId="18" borderId="8" xfId="0" applyNumberFormat="1" applyFont="1" applyFill="1" applyBorder="1"/>
    <xf numFmtId="164" fontId="15" fillId="18" borderId="9" xfId="0" applyNumberFormat="1" applyFont="1" applyFill="1" applyBorder="1"/>
    <xf numFmtId="0" fontId="15" fillId="12" borderId="7" xfId="0" applyFont="1" applyFill="1" applyBorder="1"/>
    <xf numFmtId="164" fontId="15" fillId="12" borderId="8" xfId="1" applyNumberFormat="1" applyFont="1" applyFill="1" applyBorder="1" applyProtection="1"/>
    <xf numFmtId="164" fontId="15" fillId="12" borderId="8" xfId="0" applyNumberFormat="1" applyFont="1" applyFill="1" applyBorder="1"/>
    <xf numFmtId="164" fontId="15" fillId="12" borderId="9" xfId="0" applyNumberFormat="1" applyFont="1" applyFill="1" applyBorder="1"/>
    <xf numFmtId="0" fontId="15" fillId="13" borderId="7" xfId="0" applyFont="1" applyFill="1" applyBorder="1"/>
    <xf numFmtId="164" fontId="15" fillId="13" borderId="8" xfId="1" applyNumberFormat="1" applyFont="1" applyFill="1" applyBorder="1" applyProtection="1"/>
    <xf numFmtId="164" fontId="15" fillId="13" borderId="8" xfId="0" applyNumberFormat="1" applyFont="1" applyFill="1" applyBorder="1"/>
    <xf numFmtId="164" fontId="15" fillId="13" borderId="9" xfId="0" applyNumberFormat="1" applyFont="1" applyFill="1" applyBorder="1"/>
    <xf numFmtId="0" fontId="15" fillId="7" borderId="7" xfId="0" applyFont="1" applyFill="1" applyBorder="1"/>
    <xf numFmtId="164" fontId="15" fillId="7" borderId="8" xfId="1" applyNumberFormat="1" applyFont="1" applyFill="1" applyBorder="1" applyProtection="1"/>
    <xf numFmtId="164" fontId="15" fillId="7" borderId="8" xfId="0" applyNumberFormat="1" applyFont="1" applyFill="1" applyBorder="1"/>
    <xf numFmtId="164" fontId="15" fillId="7" borderId="9" xfId="0" applyNumberFormat="1" applyFont="1" applyFill="1" applyBorder="1"/>
    <xf numFmtId="0" fontId="15" fillId="18" borderId="10" xfId="0" applyFont="1" applyFill="1" applyBorder="1"/>
    <xf numFmtId="164" fontId="15" fillId="18" borderId="11" xfId="1" applyNumberFormat="1" applyFont="1" applyFill="1" applyBorder="1" applyProtection="1"/>
    <xf numFmtId="164" fontId="15" fillId="18" borderId="11" xfId="0" applyNumberFormat="1" applyFont="1" applyFill="1" applyBorder="1"/>
    <xf numFmtId="164" fontId="15" fillId="18" borderId="12" xfId="0" applyNumberFormat="1" applyFont="1" applyFill="1" applyBorder="1"/>
    <xf numFmtId="0" fontId="0" fillId="7" borderId="0" xfId="0" applyFill="1"/>
    <xf numFmtId="0" fontId="16" fillId="18" borderId="8" xfId="0" applyFont="1" applyFill="1" applyBorder="1"/>
    <xf numFmtId="2" fontId="16" fillId="18" borderId="8" xfId="1" applyNumberFormat="1" applyFont="1" applyFill="1" applyBorder="1" applyProtection="1"/>
    <xf numFmtId="2" fontId="16" fillId="18" borderId="8" xfId="0" applyNumberFormat="1" applyFont="1" applyFill="1" applyBorder="1"/>
    <xf numFmtId="0" fontId="16" fillId="0" borderId="8" xfId="0" applyFont="1" applyBorder="1"/>
    <xf numFmtId="10" fontId="16" fillId="0" borderId="8" xfId="1" applyNumberFormat="1" applyFont="1" applyBorder="1" applyProtection="1"/>
    <xf numFmtId="10" fontId="16" fillId="0" borderId="8" xfId="0" applyNumberFormat="1" applyFont="1" applyBorder="1"/>
    <xf numFmtId="0" fontId="16" fillId="19" borderId="8" xfId="0" applyFont="1" applyFill="1" applyBorder="1"/>
    <xf numFmtId="10" fontId="16" fillId="19" borderId="8" xfId="1" applyNumberFormat="1" applyFont="1" applyFill="1" applyBorder="1" applyProtection="1"/>
    <xf numFmtId="10" fontId="16" fillId="12" borderId="8" xfId="1" applyNumberFormat="1" applyFont="1" applyFill="1" applyBorder="1" applyProtection="1"/>
    <xf numFmtId="10" fontId="16" fillId="12" borderId="8" xfId="0" applyNumberFormat="1" applyFont="1" applyFill="1" applyBorder="1"/>
    <xf numFmtId="10" fontId="0" fillId="0" borderId="0" xfId="0" applyNumberFormat="1"/>
    <xf numFmtId="0" fontId="0" fillId="14" borderId="28" xfId="0" applyFill="1" applyBorder="1"/>
    <xf numFmtId="0" fontId="0" fillId="14" borderId="29" xfId="0" applyFill="1" applyBorder="1"/>
    <xf numFmtId="0" fontId="0" fillId="14" borderId="30" xfId="0" applyFill="1" applyBorder="1"/>
    <xf numFmtId="0" fontId="0" fillId="7" borderId="28" xfId="0" applyFill="1" applyBorder="1"/>
    <xf numFmtId="2" fontId="0" fillId="7" borderId="31" xfId="0" applyNumberFormat="1" applyFill="1" applyBorder="1"/>
    <xf numFmtId="2" fontId="0" fillId="7" borderId="32" xfId="0" applyNumberFormat="1" applyFill="1" applyBorder="1"/>
    <xf numFmtId="2" fontId="0" fillId="7" borderId="28" xfId="0" applyNumberFormat="1" applyFill="1" applyBorder="1"/>
    <xf numFmtId="2" fontId="0" fillId="7" borderId="21" xfId="0" applyNumberFormat="1" applyFill="1" applyBorder="1"/>
    <xf numFmtId="0" fontId="0" fillId="14" borderId="31" xfId="0" applyFill="1" applyBorder="1"/>
    <xf numFmtId="0" fontId="0" fillId="14" borderId="33" xfId="0" applyFill="1" applyBorder="1"/>
    <xf numFmtId="0" fontId="0" fillId="14" borderId="34" xfId="0" applyFill="1" applyBorder="1"/>
    <xf numFmtId="165" fontId="0" fillId="7" borderId="31" xfId="0" applyNumberFormat="1" applyFill="1" applyBorder="1"/>
    <xf numFmtId="165" fontId="0" fillId="7" borderId="32" xfId="0" applyNumberFormat="1" applyFill="1" applyBorder="1"/>
    <xf numFmtId="165" fontId="0" fillId="7" borderId="28" xfId="0" applyNumberFormat="1" applyFill="1" applyBorder="1"/>
    <xf numFmtId="165" fontId="0" fillId="7" borderId="21" xfId="0" applyNumberFormat="1" applyFill="1" applyBorder="1"/>
    <xf numFmtId="0" fontId="0" fillId="7" borderId="35" xfId="0" applyFill="1" applyBorder="1"/>
    <xf numFmtId="165" fontId="0" fillId="7" borderId="35" xfId="0" applyNumberFormat="1" applyFill="1" applyBorder="1"/>
    <xf numFmtId="165" fontId="0" fillId="7" borderId="8" xfId="0" applyNumberFormat="1" applyFill="1" applyBorder="1"/>
    <xf numFmtId="4" fontId="20" fillId="3" borderId="8" xfId="0" applyNumberFormat="1" applyFont="1" applyFill="1" applyBorder="1" applyAlignment="1">
      <alignment horizontal="center" vertical="center"/>
    </xf>
    <xf numFmtId="4" fontId="20" fillId="4" borderId="8" xfId="0" applyNumberFormat="1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4" fontId="21" fillId="3" borderId="8" xfId="0" applyNumberFormat="1" applyFont="1" applyFill="1" applyBorder="1" applyAlignment="1">
      <alignment horizontal="center" vertical="center"/>
    </xf>
    <xf numFmtId="4" fontId="17" fillId="4" borderId="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2" fontId="0" fillId="7" borderId="36" xfId="0" applyNumberFormat="1" applyFill="1" applyBorder="1"/>
    <xf numFmtId="0" fontId="22" fillId="20" borderId="28" xfId="0" applyFont="1" applyFill="1" applyBorder="1"/>
    <xf numFmtId="0" fontId="23" fillId="20" borderId="28" xfId="0" applyFont="1" applyFill="1" applyBorder="1" applyAlignment="1">
      <alignment horizontal="center" vertical="center"/>
    </xf>
    <xf numFmtId="4" fontId="24" fillId="3" borderId="8" xfId="0" applyNumberFormat="1" applyFont="1" applyFill="1" applyBorder="1" applyAlignment="1">
      <alignment horizontal="center" vertical="center"/>
    </xf>
    <xf numFmtId="4" fontId="23" fillId="4" borderId="8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17" fillId="20" borderId="13" xfId="0" applyFont="1" applyFill="1" applyBorder="1" applyAlignment="1">
      <alignment horizontal="center" vertical="center" wrapText="1"/>
    </xf>
    <xf numFmtId="4" fontId="8" fillId="3" borderId="13" xfId="0" applyNumberFormat="1" applyFont="1" applyFill="1" applyBorder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 wrapText="1"/>
    </xf>
    <xf numFmtId="4" fontId="10" fillId="3" borderId="14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3D69B"/>
      <rgbColor rgb="FF7F7F7F"/>
      <rgbColor rgb="FF95B3D7"/>
      <rgbColor rgb="FF993366"/>
      <rgbColor rgb="FFFFFFD0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EECE1"/>
      <rgbColor rgb="FFFCE4D6"/>
      <rgbColor rgb="FF8EB4E3"/>
      <rgbColor rgb="FFFF99CC"/>
      <rgbColor rgb="FFCC99FF"/>
      <rgbColor rgb="FFFCD5B5"/>
      <rgbColor rgb="FF2E75B6"/>
      <rgbColor rgb="FF558ED5"/>
      <rgbColor rgb="FF70AD47"/>
      <rgbColor rgb="FFFFCC00"/>
      <rgbColor rgb="FFFF9900"/>
      <rgbColor rgb="FFFF6600"/>
      <rgbColor rgb="FF376092"/>
      <rgbColor rgb="FFAAAAAA"/>
      <rgbColor rgb="FF17375E"/>
      <rgbColor rgb="FF4F81BD"/>
      <rgbColor rgb="FF003300"/>
      <rgbColor rgb="FF555555"/>
      <rgbColor rgb="FF993300"/>
      <rgbColor rgb="FF993366"/>
      <rgbColor rgb="FF1F497D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3"/>
  <sheetViews>
    <sheetView topLeftCell="A31" zoomScale="85" zoomScaleNormal="85" workbookViewId="0">
      <selection activeCell="A4" sqref="A4"/>
    </sheetView>
  </sheetViews>
  <sheetFormatPr defaultColWidth="9.140625" defaultRowHeight="15" x14ac:dyDescent="0.25"/>
  <cols>
    <col min="1" max="1" width="40.140625" style="1" customWidth="1"/>
    <col min="2" max="6" width="14" style="1" customWidth="1"/>
    <col min="7" max="8" width="15.140625" style="1" customWidth="1"/>
    <col min="9" max="9" width="9.140625" style="1"/>
    <col min="10" max="10" width="9.85546875" style="1" customWidth="1"/>
    <col min="11" max="1024" width="9.140625" style="1"/>
  </cols>
  <sheetData>
    <row r="1" spans="1:8" ht="33" customHeight="1" x14ac:dyDescent="0.25">
      <c r="A1" s="169" t="s">
        <v>32</v>
      </c>
      <c r="B1" s="169"/>
      <c r="C1" s="169"/>
      <c r="D1" s="169"/>
      <c r="E1" s="169"/>
      <c r="F1" s="169"/>
      <c r="G1" s="169"/>
      <c r="H1" s="169"/>
    </row>
    <row r="2" spans="1:8" ht="27" customHeight="1" x14ac:dyDescent="0.25">
      <c r="A2" s="41" t="s">
        <v>1</v>
      </c>
      <c r="B2" s="42" t="s">
        <v>128</v>
      </c>
      <c r="C2" s="42" t="s">
        <v>129</v>
      </c>
      <c r="D2" s="42" t="s">
        <v>130</v>
      </c>
      <c r="E2" s="42" t="s">
        <v>131</v>
      </c>
      <c r="F2" s="42" t="s">
        <v>132</v>
      </c>
      <c r="G2" s="43" t="s">
        <v>133</v>
      </c>
      <c r="H2" s="43" t="s">
        <v>134</v>
      </c>
    </row>
    <row r="3" spans="1:8" ht="18" customHeight="1" x14ac:dyDescent="0.25">
      <c r="A3" s="44" t="s">
        <v>33</v>
      </c>
      <c r="B3" s="44"/>
      <c r="C3" s="44"/>
      <c r="D3" s="44"/>
      <c r="E3" s="44"/>
      <c r="F3" s="44"/>
      <c r="G3" s="23"/>
      <c r="H3" s="23"/>
    </row>
    <row r="4" spans="1:8" ht="18" customHeight="1" x14ac:dyDescent="0.25">
      <c r="A4" s="45" t="s">
        <v>34</v>
      </c>
      <c r="B4" s="46"/>
      <c r="C4" s="46"/>
      <c r="D4" s="46"/>
      <c r="E4" s="46"/>
      <c r="F4" s="46"/>
      <c r="G4" s="46"/>
      <c r="H4" s="46"/>
    </row>
    <row r="5" spans="1:8" ht="18" customHeight="1" x14ac:dyDescent="0.25">
      <c r="A5" s="47" t="s">
        <v>35</v>
      </c>
      <c r="B5" s="14">
        <v>1197.6099999999999</v>
      </c>
      <c r="C5" s="14">
        <v>1221.21</v>
      </c>
      <c r="D5" s="14">
        <v>1221.24</v>
      </c>
      <c r="E5" s="14">
        <v>1247.44</v>
      </c>
      <c r="F5" s="14">
        <v>1247.44</v>
      </c>
      <c r="G5" s="14">
        <v>1247.44</v>
      </c>
      <c r="H5" s="14">
        <v>1247.44</v>
      </c>
    </row>
    <row r="6" spans="1:8" ht="18" customHeight="1" x14ac:dyDescent="0.25">
      <c r="A6" s="48" t="s">
        <v>36</v>
      </c>
      <c r="B6" s="18">
        <v>72262.38</v>
      </c>
      <c r="C6" s="18">
        <v>113221.83</v>
      </c>
      <c r="D6" s="18">
        <v>101860.86</v>
      </c>
      <c r="E6" s="18">
        <v>90788.32</v>
      </c>
      <c r="F6" s="18">
        <v>89922.19</v>
      </c>
      <c r="G6" s="15">
        <f>F6+'P &amp; L Statement'!G23-'P &amp; L Statement'!G28</f>
        <v>100648.75814629483</v>
      </c>
      <c r="H6" s="15">
        <f>G6+'P &amp; L Statement'!H23-'P &amp; L Statement'!H28</f>
        <v>111179.13289370587</v>
      </c>
    </row>
    <row r="7" spans="1:8" ht="18" customHeight="1" x14ac:dyDescent="0.25">
      <c r="A7" s="49" t="s">
        <v>37</v>
      </c>
      <c r="B7" s="20">
        <f t="shared" ref="B7:H7" si="0">SUM(B5:B6)</f>
        <v>73459.990000000005</v>
      </c>
      <c r="C7" s="20">
        <f t="shared" si="0"/>
        <v>114443.04000000001</v>
      </c>
      <c r="D7" s="20">
        <f t="shared" si="0"/>
        <v>103082.1</v>
      </c>
      <c r="E7" s="20">
        <f>SUM(E5:E6)</f>
        <v>92035.760000000009</v>
      </c>
      <c r="F7" s="20">
        <f t="shared" si="0"/>
        <v>91169.63</v>
      </c>
      <c r="G7" s="20">
        <f t="shared" si="0"/>
        <v>101896.19814629483</v>
      </c>
      <c r="H7" s="20">
        <f t="shared" si="0"/>
        <v>112426.57289370587</v>
      </c>
    </row>
    <row r="8" spans="1:8" ht="18" customHeight="1" x14ac:dyDescent="0.25">
      <c r="A8" s="48" t="s">
        <v>38</v>
      </c>
      <c r="B8" s="18">
        <v>3269.68</v>
      </c>
      <c r="C8" s="18">
        <v>2655.42</v>
      </c>
      <c r="D8" s="18">
        <v>2093.11</v>
      </c>
      <c r="E8" s="18">
        <v>396.98</v>
      </c>
      <c r="F8" s="18">
        <v>183.15</v>
      </c>
      <c r="G8" s="18">
        <v>183.15</v>
      </c>
      <c r="H8" s="18">
        <v>183.15</v>
      </c>
    </row>
    <row r="9" spans="1:8" ht="18" customHeight="1" x14ac:dyDescent="0.25">
      <c r="A9" s="45" t="s">
        <v>39</v>
      </c>
      <c r="B9" s="46"/>
      <c r="C9" s="46"/>
      <c r="D9" s="46"/>
      <c r="E9" s="46"/>
      <c r="F9" s="46"/>
      <c r="G9" s="46"/>
      <c r="H9" s="46"/>
    </row>
    <row r="10" spans="1:8" ht="18" customHeight="1" x14ac:dyDescent="0.25">
      <c r="A10" s="48" t="s">
        <v>40</v>
      </c>
      <c r="B10" s="18">
        <v>65698.009999999995</v>
      </c>
      <c r="C10" s="18">
        <v>44764.07</v>
      </c>
      <c r="D10" s="18">
        <v>51446.33</v>
      </c>
      <c r="E10" s="18">
        <v>51576.73</v>
      </c>
      <c r="F10" s="18">
        <v>68551.81</v>
      </c>
      <c r="G10" s="18">
        <v>68551.81</v>
      </c>
      <c r="H10" s="18">
        <v>68551.81</v>
      </c>
    </row>
    <row r="11" spans="1:8" ht="18" customHeight="1" x14ac:dyDescent="0.25">
      <c r="A11" s="47" t="s">
        <v>41</v>
      </c>
      <c r="B11" s="14">
        <v>9241.42</v>
      </c>
      <c r="C11" s="14">
        <v>12325.78</v>
      </c>
      <c r="D11" s="14">
        <v>14115.64</v>
      </c>
      <c r="E11" s="14">
        <v>12992.34</v>
      </c>
      <c r="F11" s="14">
        <v>14430.15</v>
      </c>
      <c r="G11" s="15">
        <f>'P &amp; L Statement'!$G$4*(F11/'P &amp; L Statement'!F4)</f>
        <v>15687.073157490764</v>
      </c>
      <c r="H11" s="15">
        <f>'P &amp; L Statement'!H4*(G11/'P &amp; L Statement'!G4)</f>
        <v>17053.479294980803</v>
      </c>
    </row>
    <row r="12" spans="1:8" ht="18" customHeight="1" x14ac:dyDescent="0.25">
      <c r="A12" s="48" t="s">
        <v>42</v>
      </c>
      <c r="B12" s="18">
        <v>17480.28</v>
      </c>
      <c r="C12" s="18">
        <v>15843.31</v>
      </c>
      <c r="D12" s="18">
        <v>15213.59</v>
      </c>
      <c r="E12" s="18">
        <v>12594.18</v>
      </c>
      <c r="F12" s="18">
        <v>13160.01</v>
      </c>
      <c r="G12" s="15">
        <f>F12*(1+'Common size BS'!G32)</f>
        <v>13878.338008181952</v>
      </c>
      <c r="H12" s="15">
        <f>G12*(1+'Common size BS'!H32)</f>
        <v>14589.108288171094</v>
      </c>
    </row>
    <row r="13" spans="1:8" ht="18" customHeight="1" x14ac:dyDescent="0.25">
      <c r="A13" s="47" t="s">
        <v>43</v>
      </c>
      <c r="B13" s="14">
        <v>4691.92</v>
      </c>
      <c r="C13" s="14">
        <v>4825.9799999999996</v>
      </c>
      <c r="D13" s="14">
        <v>4775.84</v>
      </c>
      <c r="E13" s="14">
        <v>5424.03</v>
      </c>
      <c r="F13" s="14">
        <v>5806.5</v>
      </c>
      <c r="G13" s="15">
        <f>F13*(1+'Common size BS'!G33)</f>
        <v>5914.8281022818264</v>
      </c>
      <c r="H13" s="15">
        <f>G13*(1+'Common size BS'!H33)</f>
        <v>6024.5654281166589</v>
      </c>
    </row>
    <row r="14" spans="1:8" ht="18" customHeight="1" x14ac:dyDescent="0.25">
      <c r="A14" s="50" t="s">
        <v>44</v>
      </c>
      <c r="B14" s="51">
        <f t="shared" ref="B14:H14" si="1">SUM(B10:B13)</f>
        <v>97111.62999999999</v>
      </c>
      <c r="C14" s="51">
        <f t="shared" si="1"/>
        <v>77759.14</v>
      </c>
      <c r="D14" s="51">
        <f t="shared" si="1"/>
        <v>85551.4</v>
      </c>
      <c r="E14" s="51">
        <f>SUM(E10:E13)</f>
        <v>82587.28</v>
      </c>
      <c r="F14" s="51">
        <f t="shared" si="1"/>
        <v>101948.46999999999</v>
      </c>
      <c r="G14" s="51">
        <f t="shared" si="1"/>
        <v>104032.04926795454</v>
      </c>
      <c r="H14" s="51">
        <f t="shared" si="1"/>
        <v>106218.96301126856</v>
      </c>
    </row>
    <row r="15" spans="1:8" ht="18" customHeight="1" x14ac:dyDescent="0.25">
      <c r="A15" s="30" t="s">
        <v>45</v>
      </c>
      <c r="B15" s="30"/>
      <c r="C15" s="30"/>
      <c r="D15" s="30"/>
      <c r="E15" s="30"/>
      <c r="F15" s="30"/>
      <c r="G15" s="30"/>
      <c r="H15" s="30"/>
    </row>
    <row r="16" spans="1:8" ht="18" customHeight="1" x14ac:dyDescent="0.25">
      <c r="A16" s="48" t="s">
        <v>46</v>
      </c>
      <c r="B16" s="18">
        <v>14968.97</v>
      </c>
      <c r="C16" s="18">
        <v>24064.61</v>
      </c>
      <c r="D16" s="18">
        <v>26571.37</v>
      </c>
      <c r="E16" s="18">
        <v>29997.19</v>
      </c>
      <c r="F16" s="18">
        <v>20412</v>
      </c>
      <c r="G16" s="18">
        <v>20412</v>
      </c>
      <c r="H16" s="18">
        <v>20412</v>
      </c>
    </row>
    <row r="17" spans="1:8" ht="18" customHeight="1" x14ac:dyDescent="0.25">
      <c r="A17" s="47" t="s">
        <v>47</v>
      </c>
      <c r="B17" s="14">
        <v>25967.49</v>
      </c>
      <c r="C17" s="14">
        <v>36764.870000000003</v>
      </c>
      <c r="D17" s="14">
        <v>37832.54</v>
      </c>
      <c r="E17" s="14">
        <v>35434.660000000003</v>
      </c>
      <c r="F17" s="14">
        <v>29314.38</v>
      </c>
      <c r="G17" s="15">
        <f>'P &amp; L Statement'!$G$4*('Balance Sheet'!F17/'P &amp; L Statement'!$F$4)</f>
        <v>31867.778479536537</v>
      </c>
      <c r="H17" s="15">
        <f>'P &amp; L Statement'!$H$4*('Balance Sheet'!G17/'P &amp; L Statement'!$G$4)</f>
        <v>34643.588069091413</v>
      </c>
    </row>
    <row r="18" spans="1:8" ht="18" customHeight="1" x14ac:dyDescent="0.25">
      <c r="A18" s="48" t="s">
        <v>48</v>
      </c>
      <c r="B18" s="18">
        <v>25205.35</v>
      </c>
      <c r="C18" s="18">
        <v>26990.03</v>
      </c>
      <c r="D18" s="18">
        <v>29008.49</v>
      </c>
      <c r="E18" s="18">
        <v>29192.55</v>
      </c>
      <c r="F18" s="18">
        <v>32478.880000000001</v>
      </c>
      <c r="G18" s="15">
        <f>'P &amp; L Statement'!$G$4*('Balance Sheet'!F18/'P &amp; L Statement'!$F$4)</f>
        <v>35307.918949793573</v>
      </c>
      <c r="H18" s="15">
        <f>'P &amp; L Statement'!$H$4*('Balance Sheet'!G18/'P &amp; L Statement'!$G$4)</f>
        <v>38383.378385128788</v>
      </c>
    </row>
    <row r="19" spans="1:8" ht="18" customHeight="1" x14ac:dyDescent="0.25">
      <c r="A19" s="47" t="s">
        <v>49</v>
      </c>
      <c r="B19" s="14">
        <v>4725.32</v>
      </c>
      <c r="C19" s="14">
        <v>2768.49</v>
      </c>
      <c r="D19" s="14">
        <v>3882.73</v>
      </c>
      <c r="E19" s="14">
        <v>3779.08</v>
      </c>
      <c r="F19" s="14">
        <v>3888.29</v>
      </c>
      <c r="G19" s="15">
        <f>F19*(1+'Common size BS'!G39)</f>
        <v>3942.9031278826001</v>
      </c>
      <c r="H19" s="15">
        <f>G19*(1+'Common size BS'!H39)</f>
        <v>3994.1318737285114</v>
      </c>
    </row>
    <row r="20" spans="1:8" ht="18" customHeight="1" x14ac:dyDescent="0.25">
      <c r="A20" s="50" t="s">
        <v>50</v>
      </c>
      <c r="B20" s="51">
        <f t="shared" ref="B20:H20" si="2">SUM(B16:B19)</f>
        <v>70867.13</v>
      </c>
      <c r="C20" s="51">
        <f t="shared" si="2"/>
        <v>90588.000000000015</v>
      </c>
      <c r="D20" s="51">
        <f t="shared" si="2"/>
        <v>97295.13</v>
      </c>
      <c r="E20" s="51">
        <f t="shared" si="2"/>
        <v>98403.48000000001</v>
      </c>
      <c r="F20" s="51">
        <f t="shared" si="2"/>
        <v>86093.55</v>
      </c>
      <c r="G20" s="51">
        <f t="shared" si="2"/>
        <v>91530.600557212718</v>
      </c>
      <c r="H20" s="51">
        <f t="shared" si="2"/>
        <v>97433.098327948726</v>
      </c>
    </row>
    <row r="21" spans="1:8" ht="18" customHeight="1" x14ac:dyDescent="0.25">
      <c r="A21" s="52" t="s">
        <v>51</v>
      </c>
      <c r="B21" s="33">
        <f t="shared" ref="B21:H21" si="3">SUM(B7,B14,B20,B8)</f>
        <v>244708.43</v>
      </c>
      <c r="C21" s="33">
        <f t="shared" si="3"/>
        <v>285445.59999999998</v>
      </c>
      <c r="D21" s="33">
        <f t="shared" si="3"/>
        <v>288021.74</v>
      </c>
      <c r="E21" s="33">
        <f t="shared" si="3"/>
        <v>273423.5</v>
      </c>
      <c r="F21" s="33">
        <f t="shared" si="3"/>
        <v>279394.8</v>
      </c>
      <c r="G21" s="33">
        <f t="shared" si="3"/>
        <v>297641.99797146209</v>
      </c>
      <c r="H21" s="33">
        <f t="shared" si="3"/>
        <v>316261.78423292318</v>
      </c>
    </row>
    <row r="22" spans="1:8" ht="18" customHeight="1" x14ac:dyDescent="0.25">
      <c r="A22" s="44" t="s">
        <v>52</v>
      </c>
      <c r="B22" s="23"/>
      <c r="C22" s="23"/>
      <c r="D22" s="23"/>
      <c r="E22" s="23"/>
      <c r="F22" s="23"/>
      <c r="G22" s="23"/>
      <c r="H22" s="23"/>
    </row>
    <row r="23" spans="1:8" ht="18" customHeight="1" x14ac:dyDescent="0.25">
      <c r="A23" s="53" t="s">
        <v>53</v>
      </c>
      <c r="B23" s="30"/>
      <c r="C23" s="30"/>
      <c r="D23" s="30"/>
      <c r="E23" s="30"/>
      <c r="F23" s="30"/>
      <c r="G23" s="30"/>
      <c r="H23" s="30"/>
    </row>
    <row r="24" spans="1:8" ht="18" customHeight="1" x14ac:dyDescent="0.25">
      <c r="A24" s="48" t="s">
        <v>54</v>
      </c>
      <c r="B24" s="18">
        <v>128454.45</v>
      </c>
      <c r="C24" s="18">
        <v>124504.16</v>
      </c>
      <c r="D24" s="18">
        <v>127919.26</v>
      </c>
      <c r="E24" s="18">
        <v>131124.03</v>
      </c>
      <c r="F24" s="18">
        <v>133303.12</v>
      </c>
      <c r="G24" s="15">
        <f>'P &amp; L Statement'!G4*('Balance Sheet'!F24/'P &amp; L Statement'!F4)</f>
        <v>144914.34916212031</v>
      </c>
      <c r="H24" s="15">
        <f>'Balance Sheet'!G24*(1+'Common size BS'!H6)</f>
        <v>211846.38328215707</v>
      </c>
    </row>
    <row r="25" spans="1:8" ht="18" customHeight="1" x14ac:dyDescent="0.25">
      <c r="A25" s="47" t="s">
        <v>55</v>
      </c>
      <c r="B25" s="14">
        <v>2976.04</v>
      </c>
      <c r="C25" s="14">
        <v>4472.47</v>
      </c>
      <c r="D25" s="14">
        <v>13100.55</v>
      </c>
      <c r="E25" s="14">
        <v>11945.05</v>
      </c>
      <c r="F25" s="14">
        <v>11652.41</v>
      </c>
      <c r="G25" s="15">
        <f>'Balance Sheet'!F25*(1+'Common size BS'!G7)</f>
        <v>12022.274803293401</v>
      </c>
      <c r="H25" s="15">
        <f>'Balance Sheet'!G25*(1+'Common size BS'!H7)</f>
        <v>12450.958677124137</v>
      </c>
    </row>
    <row r="26" spans="1:8" ht="18" customHeight="1" x14ac:dyDescent="0.25">
      <c r="A26" s="48" t="s">
        <v>56</v>
      </c>
      <c r="B26" s="18">
        <v>878.66</v>
      </c>
      <c r="C26" s="18">
        <v>817.93</v>
      </c>
      <c r="D26" s="18">
        <v>905.12</v>
      </c>
      <c r="E26" s="18">
        <v>985.34</v>
      </c>
      <c r="F26" s="18">
        <v>1020.47</v>
      </c>
      <c r="G26" s="15">
        <f>'Balance Sheet'!F26*(1+'Common size BS'!G8)</f>
        <v>1023.9099583600613</v>
      </c>
      <c r="H26" s="15">
        <f>'Balance Sheet'!G26*(1+'Common size BS'!H8)</f>
        <v>1027.3165250121472</v>
      </c>
    </row>
    <row r="27" spans="1:8" ht="18" customHeight="1" x14ac:dyDescent="0.25">
      <c r="A27" s="47" t="s">
        <v>57</v>
      </c>
      <c r="B27" s="14">
        <v>18128.740000000002</v>
      </c>
      <c r="C27" s="14">
        <v>21227.62</v>
      </c>
      <c r="D27" s="14">
        <v>30307.9</v>
      </c>
      <c r="E27" s="14">
        <v>33370.19</v>
      </c>
      <c r="F27" s="14">
        <v>40601.879999999997</v>
      </c>
      <c r="G27" s="15">
        <f>'Balance Sheet'!F27*(1+'Common size BS'!G9)</f>
        <v>44832.953700743303</v>
      </c>
      <c r="H27" s="15">
        <f>'Balance Sheet'!G27*(1+'Common size BS'!H9)</f>
        <v>49775.068201917697</v>
      </c>
    </row>
    <row r="28" spans="1:8" ht="18" customHeight="1" x14ac:dyDescent="0.25">
      <c r="A28" s="54" t="s">
        <v>58</v>
      </c>
      <c r="B28" s="27">
        <f t="shared" ref="B28:H28" si="4">SUM(B24:B27)</f>
        <v>150437.88999999998</v>
      </c>
      <c r="C28" s="27">
        <f t="shared" si="4"/>
        <v>151022.18</v>
      </c>
      <c r="D28" s="27">
        <f t="shared" si="4"/>
        <v>172232.83</v>
      </c>
      <c r="E28" s="27">
        <f t="shared" si="4"/>
        <v>177424.61</v>
      </c>
      <c r="F28" s="27">
        <f t="shared" si="4"/>
        <v>186577.88</v>
      </c>
      <c r="G28" s="27">
        <f t="shared" si="4"/>
        <v>202793.48762451706</v>
      </c>
      <c r="H28" s="27">
        <f t="shared" si="4"/>
        <v>275099.72668621107</v>
      </c>
    </row>
    <row r="29" spans="1:8" ht="18" customHeight="1" x14ac:dyDescent="0.25">
      <c r="A29" s="47" t="s">
        <v>59</v>
      </c>
      <c r="B29" s="14">
        <v>3463.04</v>
      </c>
      <c r="C29" s="14">
        <v>4615.43</v>
      </c>
      <c r="D29" s="14">
        <v>4780.25</v>
      </c>
      <c r="E29" s="14">
        <v>5526.35</v>
      </c>
      <c r="F29" s="14">
        <v>5751.46</v>
      </c>
      <c r="G29" s="15">
        <f>F29*(1+'Common size BS'!G11)</f>
        <v>5852.3576966214696</v>
      </c>
      <c r="H29" s="15">
        <f>G29*(1+'Common size BS'!H11)</f>
        <v>5958.9948263179931</v>
      </c>
    </row>
    <row r="30" spans="1:8" ht="18" customHeight="1" x14ac:dyDescent="0.25">
      <c r="A30" s="48" t="s">
        <v>60</v>
      </c>
      <c r="B30" s="18">
        <v>1578.02</v>
      </c>
      <c r="C30" s="18">
        <v>3023.93</v>
      </c>
      <c r="D30" s="18">
        <v>2625.96</v>
      </c>
      <c r="E30" s="18">
        <v>4111.08</v>
      </c>
      <c r="F30" s="18">
        <v>3936.22</v>
      </c>
      <c r="G30" s="15">
        <f>F30*(1+'Common size BS'!G12)</f>
        <v>3979.7415834711378</v>
      </c>
      <c r="H30" s="15">
        <f>G30*(1+'Common size BS'!H12)</f>
        <v>4027.4121992221944</v>
      </c>
    </row>
    <row r="31" spans="1:8" ht="18" customHeight="1" x14ac:dyDescent="0.25">
      <c r="A31" s="47" t="s">
        <v>61</v>
      </c>
      <c r="B31" s="14">
        <v>91.93</v>
      </c>
      <c r="C31" s="14">
        <v>1282.44</v>
      </c>
      <c r="D31" s="14">
        <v>64.739999999999995</v>
      </c>
      <c r="E31" s="14">
        <v>73.14</v>
      </c>
      <c r="F31" s="14">
        <v>114.66</v>
      </c>
      <c r="G31" s="15">
        <f>F31*(1+'Common size BS'!G13)</f>
        <v>114.7923427599832</v>
      </c>
      <c r="H31" s="15">
        <f>G31*(1+'Common size BS'!H13)</f>
        <v>114.94271253109258</v>
      </c>
    </row>
    <row r="32" spans="1:8" ht="18" customHeight="1" x14ac:dyDescent="0.25">
      <c r="A32" s="48" t="s">
        <v>62</v>
      </c>
      <c r="B32" s="18">
        <v>28925.65</v>
      </c>
      <c r="C32" s="18">
        <v>32945.01</v>
      </c>
      <c r="D32" s="18">
        <v>21652.42</v>
      </c>
      <c r="E32" s="18">
        <v>15740.08</v>
      </c>
      <c r="F32" s="18">
        <v>14623.04</v>
      </c>
      <c r="G32" s="15">
        <f>F32*(1+'Common size BS'!G14)</f>
        <v>15847.578922995568</v>
      </c>
      <c r="H32" s="15">
        <f>G32*(1+'Common size BS'!H14)</f>
        <v>17065.426466948771</v>
      </c>
    </row>
    <row r="33" spans="1:8" ht="18" customHeight="1" x14ac:dyDescent="0.25">
      <c r="A33" s="50" t="s">
        <v>63</v>
      </c>
      <c r="B33" s="51">
        <f t="shared" ref="B33:H33" si="5">SUM(B28:B32)</f>
        <v>184496.52999999997</v>
      </c>
      <c r="C33" s="51">
        <f t="shared" si="5"/>
        <v>192888.99</v>
      </c>
      <c r="D33" s="51">
        <f t="shared" si="5"/>
        <v>201356.19999999995</v>
      </c>
      <c r="E33" s="51">
        <f t="shared" si="5"/>
        <v>202875.25999999998</v>
      </c>
      <c r="F33" s="51">
        <f t="shared" si="5"/>
        <v>211003.26</v>
      </c>
      <c r="G33" s="51">
        <f t="shared" si="5"/>
        <v>228587.95817036522</v>
      </c>
      <c r="H33" s="51">
        <f t="shared" si="5"/>
        <v>302266.5028912311</v>
      </c>
    </row>
    <row r="34" spans="1:8" ht="18" customHeight="1" x14ac:dyDescent="0.25">
      <c r="A34" s="53" t="s">
        <v>64</v>
      </c>
      <c r="B34" s="30"/>
      <c r="C34" s="30"/>
      <c r="D34" s="30"/>
      <c r="E34" s="30"/>
      <c r="F34" s="30"/>
      <c r="G34" s="30"/>
      <c r="H34" s="30"/>
    </row>
    <row r="35" spans="1:8" ht="18" customHeight="1" x14ac:dyDescent="0.25">
      <c r="A35" s="47" t="s">
        <v>65</v>
      </c>
      <c r="B35" s="14">
        <v>7218.89</v>
      </c>
      <c r="C35" s="14">
        <v>8524.42</v>
      </c>
      <c r="D35" s="14">
        <v>3630.06</v>
      </c>
      <c r="E35" s="14">
        <v>731.22</v>
      </c>
      <c r="F35" s="14">
        <v>442.65</v>
      </c>
      <c r="G35" s="15">
        <f>F35*(1+'Common size BS'!G17)</f>
        <v>449.39824988754515</v>
      </c>
      <c r="H35" s="15">
        <f>G35*(1+'Common size BS'!H17)</f>
        <v>454.96815667801388</v>
      </c>
    </row>
    <row r="36" spans="1:8" ht="18" customHeight="1" x14ac:dyDescent="0.25">
      <c r="A36" s="48" t="s">
        <v>66</v>
      </c>
      <c r="B36" s="18">
        <v>33276.379999999997</v>
      </c>
      <c r="C36" s="18">
        <v>48824.39</v>
      </c>
      <c r="D36" s="18">
        <v>54415.33</v>
      </c>
      <c r="E36" s="18">
        <v>49157.51</v>
      </c>
      <c r="F36" s="18">
        <v>44589.94</v>
      </c>
      <c r="G36" s="15">
        <f>'P &amp; L Statement'!G4*('Balance Sheet'!F36/'P &amp; L Statement'!F4)</f>
        <v>48473.900192868663</v>
      </c>
      <c r="H36" s="15">
        <f>'P &amp; L Statement'!H4*('Balance Sheet'!G36/'P &amp; L Statement'!G4)</f>
        <v>52696.168685317643</v>
      </c>
    </row>
    <row r="37" spans="1:8" ht="18" customHeight="1" x14ac:dyDescent="0.25">
      <c r="A37" s="47" t="s">
        <v>67</v>
      </c>
      <c r="B37" s="14">
        <v>9539.84</v>
      </c>
      <c r="C37" s="14">
        <v>12246.43</v>
      </c>
      <c r="D37" s="14">
        <v>8257.24</v>
      </c>
      <c r="E37" s="14">
        <v>6263.53</v>
      </c>
      <c r="F37" s="14">
        <v>5260.06</v>
      </c>
      <c r="G37" s="15">
        <f>'P &amp; L Statement'!G4*('Balance Sheet'!F37/'P &amp; L Statement'!F4)</f>
        <v>5718.2320372824179</v>
      </c>
      <c r="H37" s="15">
        <f>'P &amp; L Statement'!H4*('Balance Sheet'!G37/'P &amp; L Statement'!G4)</f>
        <v>6216.3126717571713</v>
      </c>
    </row>
    <row r="38" spans="1:8" ht="18" customHeight="1" x14ac:dyDescent="0.25">
      <c r="A38" s="48" t="s">
        <v>68</v>
      </c>
      <c r="B38" s="18">
        <v>5782.18</v>
      </c>
      <c r="C38" s="18">
        <v>15898.93</v>
      </c>
      <c r="D38" s="18">
        <v>13357.26</v>
      </c>
      <c r="E38" s="18">
        <v>8677.7199999999993</v>
      </c>
      <c r="F38" s="18">
        <v>11646.98</v>
      </c>
      <c r="G38" s="15">
        <f>G21-(SUM(G33,G35:G37,G39:G40))</f>
        <v>7817.5336884449935</v>
      </c>
      <c r="H38" s="15">
        <f>H21-(SUM(H33,H35:H37,H39:H40))</f>
        <v>-52118.993055788975</v>
      </c>
    </row>
    <row r="39" spans="1:8" ht="18" customHeight="1" x14ac:dyDescent="0.25">
      <c r="A39" s="47" t="s">
        <v>69</v>
      </c>
      <c r="B39" s="14">
        <v>5.59</v>
      </c>
      <c r="C39" s="14">
        <v>5.84</v>
      </c>
      <c r="D39" s="14">
        <v>1.84</v>
      </c>
      <c r="E39" s="14">
        <v>1.6</v>
      </c>
      <c r="F39" s="14">
        <v>4.9800000000000004</v>
      </c>
      <c r="G39" s="15">
        <f>F39*(1+'Common size BS'!G21)</f>
        <v>4.9800730736584775</v>
      </c>
      <c r="H39" s="15">
        <f>G39*(1+'Common size BS'!H21)</f>
        <v>4.9801380108633602</v>
      </c>
    </row>
    <row r="40" spans="1:8" ht="18" customHeight="1" x14ac:dyDescent="0.25">
      <c r="A40" s="48" t="s">
        <v>70</v>
      </c>
      <c r="B40" s="18">
        <v>4389.0200000000004</v>
      </c>
      <c r="C40" s="18">
        <v>7056.6</v>
      </c>
      <c r="D40" s="18">
        <v>7003.81</v>
      </c>
      <c r="E40" s="18">
        <v>5716.66</v>
      </c>
      <c r="F40" s="18">
        <v>6446.93</v>
      </c>
      <c r="G40" s="15">
        <f>F40*(1+'Common size BS'!G22)</f>
        <v>6589.9955595396123</v>
      </c>
      <c r="H40" s="15">
        <f>G40*(1+'Common size BS'!H22)</f>
        <v>6741.8447457173461</v>
      </c>
    </row>
    <row r="41" spans="1:8" ht="18" customHeight="1" x14ac:dyDescent="0.25">
      <c r="A41" s="50" t="s">
        <v>71</v>
      </c>
      <c r="B41" s="51">
        <f t="shared" ref="B41:H41" si="6">SUM(B35:B40)</f>
        <v>60211.899999999994</v>
      </c>
      <c r="C41" s="51">
        <f t="shared" si="6"/>
        <v>92556.609999999986</v>
      </c>
      <c r="D41" s="51">
        <f t="shared" si="6"/>
        <v>86665.54</v>
      </c>
      <c r="E41" s="51">
        <f t="shared" si="6"/>
        <v>70548.240000000005</v>
      </c>
      <c r="F41" s="51">
        <f t="shared" si="6"/>
        <v>68391.540000000008</v>
      </c>
      <c r="G41" s="51">
        <f t="shared" si="6"/>
        <v>69054.039801096893</v>
      </c>
      <c r="H41" s="51">
        <f t="shared" si="6"/>
        <v>13995.281341692064</v>
      </c>
    </row>
    <row r="42" spans="1:8" ht="18" customHeight="1" x14ac:dyDescent="0.25">
      <c r="A42" s="52" t="s">
        <v>72</v>
      </c>
      <c r="B42" s="33">
        <f t="shared" ref="B42:H42" si="7">SUM(B33,B41)</f>
        <v>244708.42999999996</v>
      </c>
      <c r="C42" s="33">
        <f t="shared" si="7"/>
        <v>285445.59999999998</v>
      </c>
      <c r="D42" s="33">
        <f t="shared" si="7"/>
        <v>288021.73999999993</v>
      </c>
      <c r="E42" s="33">
        <f t="shared" si="7"/>
        <v>273423.5</v>
      </c>
      <c r="F42" s="33">
        <f t="shared" si="7"/>
        <v>279394.80000000005</v>
      </c>
      <c r="G42" s="33">
        <f t="shared" si="7"/>
        <v>297641.99797146209</v>
      </c>
      <c r="H42" s="33">
        <f t="shared" si="7"/>
        <v>316261.78423292318</v>
      </c>
    </row>
    <row r="43" spans="1:8" ht="18" customHeight="1" x14ac:dyDescent="0.25">
      <c r="B43" s="55" t="str">
        <f t="shared" ref="B43:H43" si="8">IF(B21=B42,"Correct","Incorrect")</f>
        <v>Correct</v>
      </c>
      <c r="C43" s="55" t="str">
        <f t="shared" si="8"/>
        <v>Correct</v>
      </c>
      <c r="D43" s="55" t="str">
        <f t="shared" si="8"/>
        <v>Correct</v>
      </c>
      <c r="E43" s="55" t="str">
        <f t="shared" si="8"/>
        <v>Correct</v>
      </c>
      <c r="F43" s="55" t="str">
        <f t="shared" si="8"/>
        <v>Correct</v>
      </c>
      <c r="G43" s="55" t="str">
        <f t="shared" si="8"/>
        <v>Correct</v>
      </c>
      <c r="H43" s="55" t="str">
        <f t="shared" si="8"/>
        <v>Correct</v>
      </c>
    </row>
  </sheetData>
  <mergeCells count="1">
    <mergeCell ref="A1:H1"/>
  </mergeCells>
  <phoneticPr fontId="19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2"/>
  <sheetViews>
    <sheetView topLeftCell="A28" zoomScaleNormal="100" workbookViewId="0">
      <selection activeCell="B2" sqref="B2:H2"/>
    </sheetView>
  </sheetViews>
  <sheetFormatPr defaultColWidth="9.140625" defaultRowHeight="15" x14ac:dyDescent="0.25"/>
  <cols>
    <col min="1" max="1" width="33.140625" style="1" customWidth="1"/>
    <col min="2" max="2" width="20.7109375" style="1" customWidth="1"/>
    <col min="3" max="7" width="14" style="1" customWidth="1"/>
    <col min="8" max="8" width="13.42578125" style="1" customWidth="1"/>
    <col min="9" max="9" width="12.42578125" style="1" customWidth="1"/>
    <col min="10" max="1024" width="9.140625" style="1"/>
  </cols>
  <sheetData>
    <row r="1" spans="1:8" ht="33.75" customHeight="1" x14ac:dyDescent="0.25">
      <c r="A1" s="170" t="s">
        <v>0</v>
      </c>
      <c r="B1" s="170"/>
      <c r="C1" s="170"/>
      <c r="D1" s="170"/>
      <c r="E1" s="170"/>
      <c r="F1" s="170"/>
      <c r="G1" s="170"/>
      <c r="H1" s="2"/>
    </row>
    <row r="2" spans="1:8" ht="35.25" customHeight="1" x14ac:dyDescent="0.25">
      <c r="A2" s="3" t="s">
        <v>1</v>
      </c>
      <c r="B2" s="42" t="s">
        <v>128</v>
      </c>
      <c r="C2" s="42" t="s">
        <v>129</v>
      </c>
      <c r="D2" s="42" t="s">
        <v>130</v>
      </c>
      <c r="E2" s="42" t="s">
        <v>131</v>
      </c>
      <c r="F2" s="42" t="s">
        <v>132</v>
      </c>
      <c r="G2" s="43" t="s">
        <v>133</v>
      </c>
      <c r="H2" s="43" t="s">
        <v>134</v>
      </c>
    </row>
    <row r="3" spans="1:8" ht="18" customHeight="1" x14ac:dyDescent="0.25">
      <c r="A3" s="4" t="s">
        <v>2</v>
      </c>
      <c r="B3" s="5"/>
      <c r="C3" s="6"/>
      <c r="D3" s="6"/>
      <c r="E3" s="6"/>
      <c r="F3" s="7" t="s">
        <v>3</v>
      </c>
      <c r="G3" s="8">
        <f>(F4/B4)^(1/4)-1</f>
        <v>8.7103956472438959E-2</v>
      </c>
      <c r="H3" s="5"/>
    </row>
    <row r="4" spans="1:8" ht="18" customHeight="1" x14ac:dyDescent="0.25">
      <c r="A4" s="9" t="s">
        <v>4</v>
      </c>
      <c r="B4" s="10">
        <v>156477.4</v>
      </c>
      <c r="C4" s="10">
        <v>243959.17</v>
      </c>
      <c r="D4" s="10">
        <v>243352.69</v>
      </c>
      <c r="E4" s="10">
        <v>229170.78</v>
      </c>
      <c r="F4" s="10">
        <v>218542.51</v>
      </c>
      <c r="G4" s="11">
        <f>F4*(1+G3)</f>
        <v>237578.42727841757</v>
      </c>
      <c r="H4" s="12">
        <f>G4*(1+G3)</f>
        <v>258272.44826686734</v>
      </c>
    </row>
    <row r="5" spans="1:8" ht="18" customHeight="1" x14ac:dyDescent="0.25">
      <c r="A5" s="13" t="s">
        <v>127</v>
      </c>
      <c r="B5" s="14">
        <v>-7774.82</v>
      </c>
      <c r="C5" s="14">
        <v>1017.22</v>
      </c>
      <c r="D5" s="14">
        <v>-8830.86</v>
      </c>
      <c r="E5" s="14">
        <v>-10676.8</v>
      </c>
      <c r="F5" s="14">
        <v>635.4</v>
      </c>
      <c r="G5" s="15">
        <f>$G$4*('Common size pl'!G4)</f>
        <v>-5962.5825683709454</v>
      </c>
      <c r="H5" s="16">
        <f>$H$4*'Common size pl'!H4</f>
        <v>-5211.8038508506897</v>
      </c>
    </row>
    <row r="6" spans="1:8" ht="18" customHeight="1" x14ac:dyDescent="0.25">
      <c r="A6" s="17" t="s">
        <v>5</v>
      </c>
      <c r="B6" s="18">
        <v>-1516.77</v>
      </c>
      <c r="C6" s="18">
        <v>7597.87</v>
      </c>
      <c r="D6" s="18">
        <v>3358.89</v>
      </c>
      <c r="E6" s="18">
        <v>-4409.3500000000004</v>
      </c>
      <c r="F6" s="18">
        <v>96.65</v>
      </c>
      <c r="G6" s="15">
        <f>$G$4*('Common size pl'!G5)</f>
        <v>781.87797349306084</v>
      </c>
      <c r="H6" s="16">
        <f>$H$4*'Common size pl'!H5</f>
        <v>1520.6775435029974</v>
      </c>
    </row>
    <row r="7" spans="1:8" ht="18" customHeight="1" x14ac:dyDescent="0.25">
      <c r="A7" s="19" t="s">
        <v>6</v>
      </c>
      <c r="B7" s="20">
        <f t="shared" ref="B7:H7" si="0">SUM(B4:B6)</f>
        <v>147185.81</v>
      </c>
      <c r="C7" s="20">
        <f t="shared" si="0"/>
        <v>252574.26</v>
      </c>
      <c r="D7" s="20">
        <f t="shared" si="0"/>
        <v>237880.72000000003</v>
      </c>
      <c r="E7" s="20">
        <f t="shared" si="0"/>
        <v>214084.63</v>
      </c>
      <c r="F7" s="20">
        <f t="shared" si="0"/>
        <v>219274.56</v>
      </c>
      <c r="G7" s="20">
        <f t="shared" si="0"/>
        <v>232397.7226835397</v>
      </c>
      <c r="H7" s="21">
        <f t="shared" si="0"/>
        <v>254581.32195951964</v>
      </c>
    </row>
    <row r="8" spans="1:8" ht="18" customHeight="1" x14ac:dyDescent="0.25">
      <c r="A8" s="22" t="s">
        <v>7</v>
      </c>
      <c r="B8" s="23"/>
      <c r="C8" s="23"/>
      <c r="D8" s="23"/>
      <c r="E8" s="23"/>
      <c r="F8" s="23"/>
      <c r="G8" s="23"/>
      <c r="H8" s="24"/>
    </row>
    <row r="9" spans="1:8" ht="18" customHeight="1" x14ac:dyDescent="0.25">
      <c r="A9" s="13" t="s">
        <v>8</v>
      </c>
      <c r="B9" s="14">
        <v>65969.119999999995</v>
      </c>
      <c r="C9" s="14">
        <v>107035.51</v>
      </c>
      <c r="D9" s="14">
        <v>138072.26999999999</v>
      </c>
      <c r="E9" s="14">
        <v>116247.44</v>
      </c>
      <c r="F9" s="14">
        <v>106076.18</v>
      </c>
      <c r="G9" s="15">
        <f>$G$4*'Common size pl'!G8</f>
        <v>115004.11538812185</v>
      </c>
      <c r="H9" s="16">
        <f>$H$4*'Common size pl'!H8</f>
        <v>128248.76007792309</v>
      </c>
    </row>
    <row r="10" spans="1:8" ht="18" customHeight="1" x14ac:dyDescent="0.25">
      <c r="A10" s="17" t="s">
        <v>9</v>
      </c>
      <c r="B10" s="18">
        <v>5708.42</v>
      </c>
      <c r="C10" s="18">
        <v>8028.29</v>
      </c>
      <c r="D10" s="18">
        <v>9526.91</v>
      </c>
      <c r="E10" s="18">
        <v>10071.85</v>
      </c>
      <c r="F10" s="18">
        <v>13124.85</v>
      </c>
      <c r="G10" s="15">
        <f>$G$4*'Common size pl'!G9</f>
        <v>10099.130227550966</v>
      </c>
      <c r="H10" s="16">
        <f>$H$4*'Common size pl'!H9</f>
        <v>11290.168448887571</v>
      </c>
    </row>
    <row r="11" spans="1:8" ht="18" customHeight="1" x14ac:dyDescent="0.25">
      <c r="A11" s="13" t="s">
        <v>10</v>
      </c>
      <c r="B11" s="14">
        <v>19908.810000000001</v>
      </c>
      <c r="C11" s="14">
        <v>23264.1</v>
      </c>
      <c r="D11" s="14">
        <v>22419.32</v>
      </c>
      <c r="E11" s="14">
        <v>24509.58</v>
      </c>
      <c r="F11" s="14">
        <v>24888.99</v>
      </c>
      <c r="G11" s="15">
        <f>$G$4*'Common size pl'!G10</f>
        <v>25447.212957518288</v>
      </c>
      <c r="H11" s="16">
        <f>$H$4*'Common size pl'!H10</f>
        <v>26624.455494217604</v>
      </c>
    </row>
    <row r="12" spans="1:8" ht="18" customHeight="1" x14ac:dyDescent="0.25">
      <c r="A12" s="17" t="s">
        <v>11</v>
      </c>
      <c r="B12" s="18">
        <v>32870.019999999997</v>
      </c>
      <c r="C12" s="18">
        <v>49739.19</v>
      </c>
      <c r="D12" s="18">
        <v>44392.92</v>
      </c>
      <c r="E12" s="18">
        <v>51626.66</v>
      </c>
      <c r="F12" s="18">
        <v>49250.69</v>
      </c>
      <c r="G12" s="15">
        <f>$G$4*'Common size pl'!G11</f>
        <v>49749.089572825585</v>
      </c>
      <c r="H12" s="16">
        <f>$H$4*'Common size pl'!H11</f>
        <v>54048.251861686476</v>
      </c>
    </row>
    <row r="13" spans="1:8" ht="18" customHeight="1" x14ac:dyDescent="0.25">
      <c r="A13" s="19" t="s">
        <v>12</v>
      </c>
      <c r="B13" s="20">
        <f t="shared" ref="B13:H13" si="1">SUM(B9:B12)</f>
        <v>124456.37</v>
      </c>
      <c r="C13" s="20">
        <f t="shared" si="1"/>
        <v>188067.09</v>
      </c>
      <c r="D13" s="20">
        <f t="shared" si="1"/>
        <v>214411.41999999998</v>
      </c>
      <c r="E13" s="20">
        <f t="shared" si="1"/>
        <v>202455.53</v>
      </c>
      <c r="F13" s="20">
        <f t="shared" si="1"/>
        <v>193340.71</v>
      </c>
      <c r="G13" s="20">
        <f t="shared" si="1"/>
        <v>200299.54814601669</v>
      </c>
      <c r="H13" s="21">
        <f t="shared" si="1"/>
        <v>220211.63588271473</v>
      </c>
    </row>
    <row r="14" spans="1:8" ht="18" customHeight="1" x14ac:dyDescent="0.25">
      <c r="A14" s="22" t="s">
        <v>13</v>
      </c>
      <c r="B14" s="23"/>
      <c r="C14" s="23"/>
      <c r="D14" s="23"/>
      <c r="E14" s="23"/>
      <c r="F14" s="23"/>
      <c r="G14" s="23"/>
      <c r="H14" s="24"/>
    </row>
    <row r="15" spans="1:8" ht="18" customHeight="1" x14ac:dyDescent="0.25">
      <c r="A15" s="19" t="s">
        <v>14</v>
      </c>
      <c r="B15" s="20">
        <f t="shared" ref="B15:H15" si="2">B7-B13</f>
        <v>22729.440000000002</v>
      </c>
      <c r="C15" s="20">
        <f t="shared" si="2"/>
        <v>64507.170000000013</v>
      </c>
      <c r="D15" s="20">
        <f t="shared" si="2"/>
        <v>23469.300000000047</v>
      </c>
      <c r="E15" s="20">
        <f t="shared" si="2"/>
        <v>11629.100000000006</v>
      </c>
      <c r="F15" s="20">
        <f t="shared" si="2"/>
        <v>25933.850000000006</v>
      </c>
      <c r="G15" s="20">
        <f t="shared" si="2"/>
        <v>32098.174537523009</v>
      </c>
      <c r="H15" s="21">
        <f t="shared" si="2"/>
        <v>34369.686076804908</v>
      </c>
    </row>
    <row r="16" spans="1:8" ht="18" customHeight="1" x14ac:dyDescent="0.25">
      <c r="A16" s="17" t="s">
        <v>15</v>
      </c>
      <c r="B16" s="18">
        <v>7606.71</v>
      </c>
      <c r="C16" s="18">
        <v>5462.2</v>
      </c>
      <c r="D16" s="18">
        <v>6298.7</v>
      </c>
      <c r="E16" s="18">
        <v>7507.57</v>
      </c>
      <c r="F16" s="18">
        <v>7340.95</v>
      </c>
      <c r="G16" s="18">
        <v>7340.95</v>
      </c>
      <c r="H16" s="25">
        <v>7340.95</v>
      </c>
    </row>
    <row r="17" spans="1:8" ht="18" customHeight="1" x14ac:dyDescent="0.25">
      <c r="A17" s="26" t="s">
        <v>16</v>
      </c>
      <c r="B17" s="27">
        <f t="shared" ref="B17:H17" si="3">B15-B16</f>
        <v>15122.730000000003</v>
      </c>
      <c r="C17" s="27">
        <f t="shared" si="3"/>
        <v>59044.970000000016</v>
      </c>
      <c r="D17" s="27">
        <f t="shared" si="3"/>
        <v>17170.600000000046</v>
      </c>
      <c r="E17" s="27">
        <f t="shared" si="3"/>
        <v>4121.5300000000061</v>
      </c>
      <c r="F17" s="27">
        <f t="shared" si="3"/>
        <v>18592.900000000005</v>
      </c>
      <c r="G17" s="27">
        <f t="shared" si="3"/>
        <v>24757.224537523009</v>
      </c>
      <c r="H17" s="28">
        <f t="shared" si="3"/>
        <v>27028.736076804907</v>
      </c>
    </row>
    <row r="18" spans="1:8" ht="18" customHeight="1" x14ac:dyDescent="0.25">
      <c r="A18" s="17" t="s">
        <v>17</v>
      </c>
      <c r="B18" s="18">
        <v>9233.64</v>
      </c>
      <c r="C18" s="18">
        <v>9100.8700000000008</v>
      </c>
      <c r="D18" s="18">
        <v>9335.2000000000007</v>
      </c>
      <c r="E18" s="18">
        <v>9882.16</v>
      </c>
      <c r="F18" s="18">
        <v>10421.33</v>
      </c>
      <c r="G18" s="18">
        <f>G4*'Common size pl'!G17</f>
        <v>10713.934905534088</v>
      </c>
      <c r="H18" s="25">
        <f>H4*'Common size pl'!H17</f>
        <v>10928.491959104034</v>
      </c>
    </row>
    <row r="19" spans="1:8" ht="18" customHeight="1" x14ac:dyDescent="0.25">
      <c r="A19" s="19" t="s">
        <v>18</v>
      </c>
      <c r="B19" s="20">
        <f t="shared" ref="B19:H19" si="4">B17-B18</f>
        <v>5889.0900000000038</v>
      </c>
      <c r="C19" s="20">
        <f t="shared" si="4"/>
        <v>49944.100000000013</v>
      </c>
      <c r="D19" s="20">
        <f t="shared" si="4"/>
        <v>7835.4000000000451</v>
      </c>
      <c r="E19" s="20">
        <f t="shared" si="4"/>
        <v>-5760.6299999999937</v>
      </c>
      <c r="F19" s="20">
        <f t="shared" si="4"/>
        <v>8171.5700000000052</v>
      </c>
      <c r="G19" s="20">
        <f t="shared" si="4"/>
        <v>14043.289631988921</v>
      </c>
      <c r="H19" s="21">
        <f t="shared" si="4"/>
        <v>16100.244117700873</v>
      </c>
    </row>
    <row r="20" spans="1:8" ht="18" customHeight="1" x14ac:dyDescent="0.25">
      <c r="A20" s="17" t="s">
        <v>19</v>
      </c>
      <c r="B20" s="18">
        <v>5653.9</v>
      </c>
      <c r="C20" s="18">
        <v>8477.5499999999993</v>
      </c>
      <c r="D20" s="18">
        <v>10159.77</v>
      </c>
      <c r="E20" s="18">
        <v>3762.57</v>
      </c>
      <c r="F20" s="18">
        <v>5239.09</v>
      </c>
      <c r="G20" s="15">
        <f>G19*0.3</f>
        <v>4212.9868895966756</v>
      </c>
      <c r="H20" s="16">
        <f>H19*0.3</f>
        <v>4830.0732353102621</v>
      </c>
    </row>
    <row r="21" spans="1:8" ht="18" customHeight="1" x14ac:dyDescent="0.25">
      <c r="A21" s="17" t="s">
        <v>20</v>
      </c>
      <c r="B21" s="18">
        <f t="shared" ref="B21:H21" si="5">B19-B20</f>
        <v>235.19000000000415</v>
      </c>
      <c r="C21" s="18">
        <f t="shared" si="5"/>
        <v>41466.550000000017</v>
      </c>
      <c r="D21" s="18">
        <f t="shared" si="5"/>
        <v>-2324.3699999999553</v>
      </c>
      <c r="E21" s="18">
        <f t="shared" si="5"/>
        <v>-9523.1999999999935</v>
      </c>
      <c r="F21" s="18">
        <f t="shared" si="5"/>
        <v>2932.480000000005</v>
      </c>
      <c r="G21" s="18">
        <f t="shared" si="5"/>
        <v>9830.3027423922449</v>
      </c>
      <c r="H21" s="25">
        <f t="shared" si="5"/>
        <v>11270.170882390612</v>
      </c>
    </row>
    <row r="22" spans="1:8" ht="18" customHeight="1" x14ac:dyDescent="0.25">
      <c r="A22" s="29" t="s">
        <v>21</v>
      </c>
      <c r="B22" s="30">
        <v>-6927.69</v>
      </c>
      <c r="C22" s="30">
        <v>1961.78</v>
      </c>
      <c r="D22" s="30">
        <v>-10666.65</v>
      </c>
      <c r="E22" s="30">
        <v>-5143.74</v>
      </c>
      <c r="F22" s="30">
        <v>-297.22000000000003</v>
      </c>
      <c r="G22" s="30">
        <f>G4*'Common size pl'!G21</f>
        <v>-4935.3798774482184</v>
      </c>
      <c r="H22" s="31">
        <f>H4*'Common size pl'!H21</f>
        <v>-4151.43716997919</v>
      </c>
    </row>
    <row r="23" spans="1:8" ht="18" customHeight="1" x14ac:dyDescent="0.25">
      <c r="A23" s="32" t="s">
        <v>22</v>
      </c>
      <c r="B23" s="33">
        <f t="shared" ref="B23:H23" si="6">B21-B22</f>
        <v>7162.8800000000037</v>
      </c>
      <c r="C23" s="33">
        <f t="shared" si="6"/>
        <v>39504.770000000019</v>
      </c>
      <c r="D23" s="33">
        <f t="shared" si="6"/>
        <v>8342.2800000000443</v>
      </c>
      <c r="E23" s="33">
        <f t="shared" si="6"/>
        <v>-4379.4599999999937</v>
      </c>
      <c r="F23" s="33">
        <f t="shared" si="6"/>
        <v>3229.7000000000053</v>
      </c>
      <c r="G23" s="33">
        <f t="shared" si="6"/>
        <v>14765.682619840463</v>
      </c>
      <c r="H23" s="34">
        <f t="shared" si="6"/>
        <v>15421.608052369802</v>
      </c>
    </row>
    <row r="24" spans="1:8" ht="18" customHeight="1" x14ac:dyDescent="0.25">
      <c r="A24" s="35" t="s">
        <v>23</v>
      </c>
      <c r="B24" s="23"/>
      <c r="C24" s="23"/>
      <c r="D24" s="23"/>
      <c r="E24" s="23"/>
      <c r="F24" s="23"/>
      <c r="G24" s="23"/>
      <c r="H24" s="24"/>
    </row>
    <row r="25" spans="1:8" ht="18" customHeight="1" x14ac:dyDescent="0.25">
      <c r="A25" s="17" t="s">
        <v>24</v>
      </c>
      <c r="B25" s="18">
        <v>12029.45</v>
      </c>
      <c r="C25" s="18">
        <v>12211.77</v>
      </c>
      <c r="D25" s="18">
        <v>12209.85</v>
      </c>
      <c r="E25" s="18">
        <v>12105.05</v>
      </c>
      <c r="F25" s="18">
        <v>124718.48</v>
      </c>
      <c r="G25" s="15">
        <f>$G$4*'Common size pl'!G24</f>
        <v>38041.566382705125</v>
      </c>
      <c r="H25" s="16">
        <f>$H$4*'Common size pl'!H24</f>
        <v>45655.143412140809</v>
      </c>
    </row>
    <row r="26" spans="1:8" ht="18" customHeight="1" x14ac:dyDescent="0.25">
      <c r="A26" s="13" t="s">
        <v>25</v>
      </c>
      <c r="B26" s="14">
        <f t="shared" ref="B26:H26" si="7">B23/B25*100</f>
        <v>59.544534455024987</v>
      </c>
      <c r="C26" s="14">
        <f t="shared" si="7"/>
        <v>323.49749463018071</v>
      </c>
      <c r="D26" s="14">
        <f t="shared" si="7"/>
        <v>68.324180886743449</v>
      </c>
      <c r="E26" s="14">
        <f t="shared" si="7"/>
        <v>-36.178784887299052</v>
      </c>
      <c r="F26" s="14">
        <f t="shared" si="7"/>
        <v>2.589592175914913</v>
      </c>
      <c r="G26" s="14">
        <f t="shared" si="7"/>
        <v>38.814602088922925</v>
      </c>
      <c r="H26" s="14">
        <f t="shared" si="7"/>
        <v>33.77846809756997</v>
      </c>
    </row>
    <row r="27" spans="1:8" ht="18" customHeight="1" x14ac:dyDescent="0.25">
      <c r="A27" s="17" t="s">
        <v>26</v>
      </c>
      <c r="B27" s="18">
        <v>610.66999999999996</v>
      </c>
      <c r="C27" s="18">
        <v>937.15</v>
      </c>
      <c r="D27" s="18">
        <v>84.43</v>
      </c>
      <c r="E27" s="18">
        <v>73.790000000000006</v>
      </c>
      <c r="F27" s="18">
        <v>73.099999999999994</v>
      </c>
      <c r="G27" s="18">
        <v>73.099999999999994</v>
      </c>
      <c r="H27" s="18">
        <v>73.099999999999994</v>
      </c>
    </row>
    <row r="28" spans="1:8" ht="18" customHeight="1" x14ac:dyDescent="0.25">
      <c r="A28" s="13" t="s">
        <v>27</v>
      </c>
      <c r="B28" s="14">
        <v>1144.75</v>
      </c>
      <c r="C28" s="14">
        <v>3004.16</v>
      </c>
      <c r="D28" s="14">
        <v>6227.15</v>
      </c>
      <c r="E28" s="14">
        <v>4409.79</v>
      </c>
      <c r="F28" s="14">
        <v>4489.87</v>
      </c>
      <c r="G28" s="15">
        <f>$G$4*'Common size pl'!G27</f>
        <v>4039.1144735456323</v>
      </c>
      <c r="H28" s="16">
        <f>$H$4*'Common size pl'!H27</f>
        <v>4891.2333049587678</v>
      </c>
    </row>
    <row r="29" spans="1:8" ht="18" customHeight="1" x14ac:dyDescent="0.25">
      <c r="A29" s="35" t="s">
        <v>28</v>
      </c>
      <c r="B29" s="23"/>
      <c r="C29" s="23"/>
      <c r="D29" s="23"/>
      <c r="E29" s="23"/>
      <c r="F29" s="23"/>
      <c r="G29" s="23"/>
      <c r="H29" s="24"/>
    </row>
    <row r="30" spans="1:8" ht="18" customHeight="1" x14ac:dyDescent="0.25">
      <c r="A30" s="13" t="s">
        <v>29</v>
      </c>
      <c r="B30" s="14">
        <v>-327.33999999999997</v>
      </c>
      <c r="C30" s="14">
        <v>-649.16</v>
      </c>
      <c r="D30" s="14">
        <v>-418.12</v>
      </c>
      <c r="E30" s="14">
        <v>57.98</v>
      </c>
      <c r="F30" s="14">
        <v>-190.81</v>
      </c>
      <c r="G30" s="14">
        <v>-190.81</v>
      </c>
      <c r="H30" s="36">
        <v>-190.81</v>
      </c>
    </row>
    <row r="31" spans="1:8" ht="18" customHeight="1" x14ac:dyDescent="0.25">
      <c r="A31" s="26" t="s">
        <v>30</v>
      </c>
      <c r="B31" s="27">
        <v>9232.9500000000007</v>
      </c>
      <c r="C31" s="27">
        <v>41883.379999999997</v>
      </c>
      <c r="D31" s="27">
        <v>7962.09</v>
      </c>
      <c r="E31" s="27">
        <v>2904.47</v>
      </c>
      <c r="F31" s="27">
        <v>4028.42</v>
      </c>
      <c r="G31" s="15">
        <f>$G$4*'Common size pl'!G30</f>
        <v>13993.948530857539</v>
      </c>
      <c r="H31" s="16">
        <f>$H$4*'Common size pl'!H30</f>
        <v>15207.578681083267</v>
      </c>
    </row>
    <row r="32" spans="1:8" ht="18" customHeight="1" x14ac:dyDescent="0.25">
      <c r="A32" s="37" t="s">
        <v>31</v>
      </c>
      <c r="B32" s="38">
        <v>58487.25</v>
      </c>
      <c r="C32" s="38">
        <v>81031.58</v>
      </c>
      <c r="D32" s="38">
        <v>76339.149999999994</v>
      </c>
      <c r="E32" s="38">
        <v>86208.09</v>
      </c>
      <c r="F32" s="38">
        <v>87264.53</v>
      </c>
      <c r="G32" s="39">
        <f>$G$4*'Common size pl'!G31</f>
        <v>85295.432757894843</v>
      </c>
      <c r="H32" s="40">
        <f>$H$4*'Common size pl'!H31</f>
        <v>91962.875804791649</v>
      </c>
    </row>
  </sheetData>
  <mergeCells count="1">
    <mergeCell ref="A1:G1"/>
  </mergeCells>
  <printOptions headings="1" gridLines="1"/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9"/>
  <sheetViews>
    <sheetView topLeftCell="A13" zoomScaleNormal="100" workbookViewId="0">
      <selection activeCell="G7" sqref="G7"/>
    </sheetView>
  </sheetViews>
  <sheetFormatPr defaultColWidth="9.140625" defaultRowHeight="15" x14ac:dyDescent="0.25"/>
  <cols>
    <col min="1" max="1" width="42" style="1" customWidth="1"/>
    <col min="2" max="6" width="14" style="1" customWidth="1"/>
    <col min="7" max="7" width="10.85546875" style="1" customWidth="1"/>
    <col min="8" max="8" width="22.85546875" style="1" customWidth="1"/>
    <col min="9" max="1024" width="9.140625" style="1"/>
  </cols>
  <sheetData>
    <row r="1" spans="1:1024" ht="36" customHeight="1" x14ac:dyDescent="0.25">
      <c r="A1" s="171" t="s">
        <v>73</v>
      </c>
      <c r="B1" s="171"/>
      <c r="C1" s="171"/>
      <c r="D1" s="171"/>
      <c r="E1" s="171"/>
      <c r="F1" s="171"/>
    </row>
    <row r="2" spans="1:1024" ht="33" customHeight="1" x14ac:dyDescent="0.25">
      <c r="A2" s="56" t="s">
        <v>1</v>
      </c>
      <c r="B2" s="42" t="s">
        <v>128</v>
      </c>
      <c r="C2" s="42" t="s">
        <v>129</v>
      </c>
      <c r="D2" s="42" t="s">
        <v>130</v>
      </c>
      <c r="E2" s="42" t="s">
        <v>131</v>
      </c>
      <c r="F2" s="42" t="s">
        <v>132</v>
      </c>
      <c r="AMG2"/>
      <c r="AMH2"/>
      <c r="AMI2"/>
      <c r="AMJ2"/>
    </row>
    <row r="3" spans="1:1024" ht="18" customHeight="1" x14ac:dyDescent="0.25">
      <c r="A3" s="57" t="s">
        <v>74</v>
      </c>
      <c r="B3" s="58"/>
      <c r="C3" s="59"/>
      <c r="D3" s="59"/>
      <c r="E3" s="59"/>
      <c r="F3" s="60"/>
    </row>
    <row r="4" spans="1:1024" ht="18" customHeight="1" x14ac:dyDescent="0.25">
      <c r="A4" s="61" t="s">
        <v>75</v>
      </c>
      <c r="B4" s="62">
        <f>'P &amp; L Statement'!B21</f>
        <v>235.19000000000415</v>
      </c>
      <c r="C4" s="62">
        <f>'P &amp; L Statement'!C21</f>
        <v>41466.550000000017</v>
      </c>
      <c r="D4" s="62">
        <f>'P &amp; L Statement'!D21</f>
        <v>-2324.3699999999553</v>
      </c>
      <c r="E4" s="62">
        <f>'P &amp; L Statement'!E21</f>
        <v>-9523.1999999999935</v>
      </c>
      <c r="F4" s="62">
        <f>'P &amp; L Statement'!F21</f>
        <v>2932.480000000005</v>
      </c>
    </row>
    <row r="5" spans="1:1024" ht="18" customHeight="1" x14ac:dyDescent="0.25">
      <c r="A5" s="64" t="s">
        <v>76</v>
      </c>
      <c r="B5" s="65">
        <f>'P &amp; L Statement'!B18</f>
        <v>9233.64</v>
      </c>
      <c r="C5" s="65">
        <f>'P &amp; L Statement'!C18</f>
        <v>9100.8700000000008</v>
      </c>
      <c r="D5" s="65">
        <f>'P &amp; L Statement'!D18</f>
        <v>9335.2000000000007</v>
      </c>
      <c r="E5" s="65">
        <f>'P &amp; L Statement'!E18</f>
        <v>9882.16</v>
      </c>
      <c r="F5" s="66">
        <f>'P &amp; L Statement'!F18</f>
        <v>10421.33</v>
      </c>
    </row>
    <row r="6" spans="1:1024" ht="18" customHeight="1" x14ac:dyDescent="0.25">
      <c r="A6" s="61" t="s">
        <v>77</v>
      </c>
      <c r="B6" s="62">
        <f>'P &amp; L Statement'!B5</f>
        <v>-7774.82</v>
      </c>
      <c r="C6" s="62">
        <f>'P &amp; L Statement'!C5</f>
        <v>1017.22</v>
      </c>
      <c r="D6" s="62">
        <f>'P &amp; L Statement'!D5</f>
        <v>-8830.86</v>
      </c>
      <c r="E6" s="62">
        <f>'P &amp; L Statement'!E5</f>
        <v>-10676.8</v>
      </c>
      <c r="F6" s="63">
        <f>'P &amp; L Statement'!F5</f>
        <v>635.4</v>
      </c>
    </row>
    <row r="7" spans="1:1024" ht="18" customHeight="1" x14ac:dyDescent="0.25">
      <c r="A7" s="64" t="s">
        <v>78</v>
      </c>
      <c r="B7" s="67" t="s">
        <v>79</v>
      </c>
      <c r="C7" s="65">
        <f>('Balance Sheet'!C41-'Balance Sheet'!C20)-('Balance Sheet'!B41-'Balance Sheet'!B20)</f>
        <v>12623.839999999982</v>
      </c>
      <c r="D7" s="65">
        <f>('Balance Sheet'!D41-'Balance Sheet'!D20)-('Balance Sheet'!C41-'Balance Sheet'!C20)</f>
        <v>-12598.199999999983</v>
      </c>
      <c r="E7" s="65">
        <f>('Balance Sheet'!E41-'Balance Sheet'!E20)-('Balance Sheet'!D41-'Balance Sheet'!D20)</f>
        <v>-17225.649999999994</v>
      </c>
      <c r="F7" s="66">
        <f>('Balance Sheet'!F41-'Balance Sheet'!F20)-('Balance Sheet'!E41-'Balance Sheet'!E20)</f>
        <v>10153.23000000001</v>
      </c>
    </row>
    <row r="8" spans="1:1024" ht="18" customHeight="1" x14ac:dyDescent="0.25">
      <c r="A8" s="68" t="s">
        <v>80</v>
      </c>
      <c r="B8" s="69">
        <f>SUM(B4:B7)</f>
        <v>1694.0100000000039</v>
      </c>
      <c r="C8" s="69">
        <f>SUM(C4:C7)</f>
        <v>64208.480000000003</v>
      </c>
      <c r="D8" s="69">
        <f>SUM(D4:D7)</f>
        <v>-14418.229999999938</v>
      </c>
      <c r="E8" s="69">
        <f>SUM(E4:E7)</f>
        <v>-27543.489999999987</v>
      </c>
      <c r="F8" s="70">
        <f>SUM(F4:F7)</f>
        <v>24142.440000000017</v>
      </c>
    </row>
    <row r="9" spans="1:1024" ht="18" customHeight="1" x14ac:dyDescent="0.25">
      <c r="A9" s="57" t="s">
        <v>81</v>
      </c>
      <c r="B9" s="71"/>
      <c r="C9" s="72"/>
      <c r="D9" s="72"/>
      <c r="E9" s="72"/>
      <c r="F9" s="73"/>
    </row>
    <row r="10" spans="1:1024" ht="18" customHeight="1" x14ac:dyDescent="0.25">
      <c r="A10" s="61" t="s">
        <v>82</v>
      </c>
      <c r="B10" s="74" t="s">
        <v>79</v>
      </c>
      <c r="C10" s="62">
        <f>'Balance Sheet'!B24-'Balance Sheet'!C24</f>
        <v>3950.2899999999936</v>
      </c>
      <c r="D10" s="62">
        <f>'Balance Sheet'!C24-'Balance Sheet'!D24</f>
        <v>-3415.0999999999913</v>
      </c>
      <c r="E10" s="62">
        <f>'Balance Sheet'!D24-'Balance Sheet'!E24</f>
        <v>-3204.7700000000041</v>
      </c>
      <c r="F10" s="63">
        <f>'Balance Sheet'!E24-'Balance Sheet'!F24</f>
        <v>-2179.0899999999965</v>
      </c>
    </row>
    <row r="11" spans="1:1024" ht="18" customHeight="1" x14ac:dyDescent="0.25">
      <c r="A11" s="64" t="s">
        <v>83</v>
      </c>
      <c r="B11" s="67" t="s">
        <v>79</v>
      </c>
      <c r="C11" s="65">
        <f>'Balance Sheet'!B25-'Balance Sheet'!C25</f>
        <v>-1496.4300000000003</v>
      </c>
      <c r="D11" s="65">
        <f>'Balance Sheet'!C25-'Balance Sheet'!D25</f>
        <v>-8628.0799999999981</v>
      </c>
      <c r="E11" s="65">
        <f>'Balance Sheet'!D25-'Balance Sheet'!E25</f>
        <v>1155.5</v>
      </c>
      <c r="F11" s="66">
        <f>'Balance Sheet'!E25-'Balance Sheet'!F25</f>
        <v>292.63999999999942</v>
      </c>
    </row>
    <row r="12" spans="1:1024" ht="18" customHeight="1" x14ac:dyDescent="0.25">
      <c r="A12" s="61" t="s">
        <v>84</v>
      </c>
      <c r="B12" s="74" t="s">
        <v>79</v>
      </c>
      <c r="C12" s="62">
        <f>'Balance Sheet'!B27-'Balance Sheet'!C27</f>
        <v>-3098.8799999999974</v>
      </c>
      <c r="D12" s="62">
        <f>'Balance Sheet'!C27-'Balance Sheet'!D27</f>
        <v>-9080.2800000000025</v>
      </c>
      <c r="E12" s="62">
        <f>'Balance Sheet'!D27-'Balance Sheet'!E27</f>
        <v>-3062.2900000000009</v>
      </c>
      <c r="F12" s="63">
        <f>'Balance Sheet'!E27-'Balance Sheet'!F27</f>
        <v>-7231.6899999999951</v>
      </c>
    </row>
    <row r="13" spans="1:1024" ht="18" customHeight="1" x14ac:dyDescent="0.25">
      <c r="A13" s="64" t="s">
        <v>85</v>
      </c>
      <c r="B13" s="67" t="s">
        <v>79</v>
      </c>
      <c r="C13" s="65">
        <f>'Balance Sheet'!B29-'Balance Sheet'!C29</f>
        <v>-1152.3900000000003</v>
      </c>
      <c r="D13" s="65">
        <f>'Balance Sheet'!C29-'Balance Sheet'!D29</f>
        <v>-164.81999999999971</v>
      </c>
      <c r="E13" s="65">
        <f>'Balance Sheet'!D29-'Balance Sheet'!E29</f>
        <v>-746.10000000000036</v>
      </c>
      <c r="F13" s="66">
        <f>'Balance Sheet'!E29-'Balance Sheet'!F29</f>
        <v>-225.10999999999967</v>
      </c>
    </row>
    <row r="14" spans="1:1024" ht="18" customHeight="1" x14ac:dyDescent="0.25">
      <c r="A14" s="61" t="s">
        <v>86</v>
      </c>
      <c r="B14" s="74" t="s">
        <v>79</v>
      </c>
      <c r="C14" s="62">
        <f>'Balance Sheet'!B32-'Balance Sheet'!C32</f>
        <v>-4019.3600000000006</v>
      </c>
      <c r="D14" s="62">
        <f>'Balance Sheet'!C32-'Balance Sheet'!D32</f>
        <v>11292.590000000004</v>
      </c>
      <c r="E14" s="62">
        <f>'Balance Sheet'!D32-'Balance Sheet'!E32</f>
        <v>5912.3399999999983</v>
      </c>
      <c r="F14" s="63">
        <f>'Balance Sheet'!E32-'Balance Sheet'!F32</f>
        <v>1117.0399999999991</v>
      </c>
    </row>
    <row r="15" spans="1:1024" ht="18" customHeight="1" x14ac:dyDescent="0.25">
      <c r="A15" s="64" t="s">
        <v>87</v>
      </c>
      <c r="B15" s="67" t="s">
        <v>79</v>
      </c>
      <c r="C15" s="65">
        <f>'Balance Sheet'!B35-'Balance Sheet'!C35</f>
        <v>-1305.5299999999997</v>
      </c>
      <c r="D15" s="65">
        <f>'Balance Sheet'!C35-'Balance Sheet'!D35</f>
        <v>4894.3600000000006</v>
      </c>
      <c r="E15" s="65">
        <f>'Balance Sheet'!D35-'Balance Sheet'!E35</f>
        <v>2898.84</v>
      </c>
      <c r="F15" s="66">
        <f>'Balance Sheet'!E35-'Balance Sheet'!F35</f>
        <v>288.57000000000005</v>
      </c>
    </row>
    <row r="16" spans="1:1024" ht="18" customHeight="1" x14ac:dyDescent="0.25">
      <c r="A16" s="68" t="s">
        <v>88</v>
      </c>
      <c r="B16" s="69">
        <f>SUM(B10:B15)</f>
        <v>0</v>
      </c>
      <c r="C16" s="69">
        <f>SUM(C10:C15)</f>
        <v>-7122.3000000000047</v>
      </c>
      <c r="D16" s="69">
        <f>SUM(D10:D15)</f>
        <v>-5101.3299999999872</v>
      </c>
      <c r="E16" s="69">
        <f>SUM(E10:E15)</f>
        <v>2953.5199999999932</v>
      </c>
      <c r="F16" s="70">
        <f>SUM(F10:F15)</f>
        <v>-7937.639999999994</v>
      </c>
    </row>
    <row r="17" spans="1:6" ht="18" customHeight="1" x14ac:dyDescent="0.25">
      <c r="A17" s="57" t="s">
        <v>89</v>
      </c>
      <c r="B17" s="71"/>
      <c r="C17" s="72"/>
      <c r="D17" s="72"/>
      <c r="E17" s="72"/>
      <c r="F17" s="73"/>
    </row>
    <row r="18" spans="1:6" ht="18" customHeight="1" x14ac:dyDescent="0.25">
      <c r="A18" s="61" t="s">
        <v>90</v>
      </c>
      <c r="B18" s="74" t="s">
        <v>79</v>
      </c>
      <c r="C18" s="62">
        <f>'Balance Sheet'!C10-'Balance Sheet'!B10</f>
        <v>-20933.939999999995</v>
      </c>
      <c r="D18" s="62">
        <f>'Balance Sheet'!D10-'Balance Sheet'!C10</f>
        <v>6682.260000000002</v>
      </c>
      <c r="E18" s="62">
        <f>'Balance Sheet'!E10-'Balance Sheet'!D10</f>
        <v>130.40000000000146</v>
      </c>
      <c r="F18" s="63">
        <f>'Balance Sheet'!F10-'Balance Sheet'!E10</f>
        <v>16975.079999999994</v>
      </c>
    </row>
    <row r="19" spans="1:6" ht="18" customHeight="1" x14ac:dyDescent="0.25">
      <c r="A19" s="64" t="s">
        <v>91</v>
      </c>
      <c r="B19" s="67" t="s">
        <v>79</v>
      </c>
      <c r="C19" s="65">
        <f>'Balance Sheet'!C16-'Balance Sheet'!B16</f>
        <v>9095.6400000000012</v>
      </c>
      <c r="D19" s="65">
        <f>'Balance Sheet'!D16-'Balance Sheet'!C16</f>
        <v>2506.7599999999984</v>
      </c>
      <c r="E19" s="65">
        <f>'Balance Sheet'!E16-'Balance Sheet'!D16</f>
        <v>3425.8199999999997</v>
      </c>
      <c r="F19" s="66">
        <f>'Balance Sheet'!F16-'Balance Sheet'!E16</f>
        <v>-9585.1899999999987</v>
      </c>
    </row>
    <row r="20" spans="1:6" ht="18" customHeight="1" x14ac:dyDescent="0.25">
      <c r="A20" s="61" t="s">
        <v>92</v>
      </c>
      <c r="B20" s="74" t="s">
        <v>79</v>
      </c>
      <c r="C20" s="62">
        <f>'Balance Sheet'!C5-'Balance Sheet'!B5</f>
        <v>23.600000000000136</v>
      </c>
      <c r="D20" s="62">
        <f>'Balance Sheet'!D5-'Balance Sheet'!C5</f>
        <v>2.9999999999972715E-2</v>
      </c>
      <c r="E20" s="62">
        <f>'Balance Sheet'!E5-'Balance Sheet'!D5</f>
        <v>26.200000000000045</v>
      </c>
      <c r="F20" s="63">
        <f>'Balance Sheet'!F5-'Balance Sheet'!E5</f>
        <v>0</v>
      </c>
    </row>
    <row r="21" spans="1:6" ht="18" customHeight="1" x14ac:dyDescent="0.25">
      <c r="A21" s="64" t="s">
        <v>93</v>
      </c>
      <c r="B21" s="67" t="s">
        <v>79</v>
      </c>
      <c r="C21" s="65">
        <f>'Balance Sheet'!C8-'Balance Sheet'!B8</f>
        <v>-614.25999999999976</v>
      </c>
      <c r="D21" s="65">
        <f>'Balance Sheet'!D8-'Balance Sheet'!C8</f>
        <v>-562.30999999999995</v>
      </c>
      <c r="E21" s="65">
        <f>'Balance Sheet'!E8-'Balance Sheet'!D8</f>
        <v>-1696.13</v>
      </c>
      <c r="F21" s="66">
        <f>'Balance Sheet'!F8-'Balance Sheet'!E8</f>
        <v>-213.83</v>
      </c>
    </row>
    <row r="22" spans="1:6" ht="18" customHeight="1" x14ac:dyDescent="0.25">
      <c r="A22" s="61" t="s">
        <v>94</v>
      </c>
      <c r="B22" s="74" t="s">
        <v>79</v>
      </c>
      <c r="C22" s="62">
        <f>-'P &amp; L Statement'!C28</f>
        <v>-3004.16</v>
      </c>
      <c r="D22" s="62">
        <f>-'P &amp; L Statement'!D28</f>
        <v>-6227.15</v>
      </c>
      <c r="E22" s="62">
        <f>-'P &amp; L Statement'!E28</f>
        <v>-4409.79</v>
      </c>
      <c r="F22" s="63">
        <f>-'P &amp; L Statement'!F28</f>
        <v>-4489.87</v>
      </c>
    </row>
    <row r="23" spans="1:6" ht="18" customHeight="1" x14ac:dyDescent="0.25">
      <c r="A23" s="68" t="s">
        <v>95</v>
      </c>
      <c r="B23" s="69">
        <f>SUM(B18:B22)</f>
        <v>0</v>
      </c>
      <c r="C23" s="69">
        <f>SUM(C18:C22)</f>
        <v>-15433.119999999994</v>
      </c>
      <c r="D23" s="69">
        <f>SUM(D18:D22)</f>
        <v>2399.590000000002</v>
      </c>
      <c r="E23" s="69">
        <f>SUM(E18:E22)</f>
        <v>-2523.4999999999991</v>
      </c>
      <c r="F23" s="70">
        <f>SUM(F18:F22)</f>
        <v>2686.189999999996</v>
      </c>
    </row>
    <row r="24" spans="1:6" ht="18" customHeight="1" x14ac:dyDescent="0.25">
      <c r="A24" s="57" t="s">
        <v>96</v>
      </c>
      <c r="B24" s="75"/>
      <c r="C24" s="76"/>
      <c r="D24" s="76"/>
      <c r="E24" s="76"/>
      <c r="F24" s="77"/>
    </row>
    <row r="25" spans="1:6" ht="18" customHeight="1" x14ac:dyDescent="0.25">
      <c r="A25" s="78" t="s">
        <v>97</v>
      </c>
      <c r="B25" s="79">
        <v>8621.7000000000007</v>
      </c>
      <c r="C25" s="79">
        <f>SUM(C8,C16,C23)</f>
        <v>41653.060000000005</v>
      </c>
      <c r="D25" s="79">
        <f>SUM(D8,D16,D23)</f>
        <v>-17119.969999999921</v>
      </c>
      <c r="E25" s="79">
        <f>SUM(E8,E16,E23)</f>
        <v>-27113.469999999994</v>
      </c>
      <c r="F25" s="80">
        <f>SUM(F8,F16,F23)</f>
        <v>18890.99000000002</v>
      </c>
    </row>
    <row r="26" spans="1:6" ht="18" customHeight="1" x14ac:dyDescent="0.25">
      <c r="A26" s="61" t="s">
        <v>98</v>
      </c>
      <c r="B26" s="74" t="s">
        <v>79</v>
      </c>
      <c r="C26" s="62">
        <f>'Balance Sheet'!B38</f>
        <v>5782.18</v>
      </c>
      <c r="D26" s="62">
        <f>'Balance Sheet'!C38</f>
        <v>15898.93</v>
      </c>
      <c r="E26" s="62">
        <f>'Balance Sheet'!D38</f>
        <v>13357.26</v>
      </c>
      <c r="F26" s="63">
        <f>'Balance Sheet'!E38</f>
        <v>8677.7199999999993</v>
      </c>
    </row>
    <row r="27" spans="1:6" ht="18" customHeight="1" x14ac:dyDescent="0.25">
      <c r="A27" s="81" t="s">
        <v>99</v>
      </c>
      <c r="B27" s="82">
        <f>B25+B26</f>
        <v>8621.7000000000007</v>
      </c>
      <c r="C27" s="82">
        <f>C25+C26</f>
        <v>47435.240000000005</v>
      </c>
      <c r="D27" s="82">
        <f>D25+D26</f>
        <v>-1221.0399999999208</v>
      </c>
      <c r="E27" s="82">
        <f>E25+E26</f>
        <v>-13756.209999999994</v>
      </c>
      <c r="F27" s="83">
        <f>F25+F26</f>
        <v>27568.710000000021</v>
      </c>
    </row>
    <row r="28" spans="1:6" ht="18" customHeight="1" x14ac:dyDescent="0.25">
      <c r="A28" s="84"/>
    </row>
    <row r="29" spans="1:6" ht="18" customHeight="1" x14ac:dyDescent="0.25">
      <c r="A29" s="84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showRowColHeaders="0" topLeftCell="A19" zoomScale="55" zoomScaleNormal="55" workbookViewId="0">
      <selection activeCell="A4" sqref="A4"/>
    </sheetView>
  </sheetViews>
  <sheetFormatPr defaultColWidth="8.7109375" defaultRowHeight="15" x14ac:dyDescent="0.25"/>
  <cols>
    <col min="1" max="1" width="48.28515625" customWidth="1"/>
    <col min="2" max="2" width="18.5703125" customWidth="1"/>
    <col min="3" max="3" width="13.85546875" customWidth="1"/>
    <col min="4" max="4" width="14.28515625" customWidth="1"/>
    <col min="5" max="5" width="16.140625" customWidth="1"/>
    <col min="6" max="6" width="18" customWidth="1"/>
    <col min="7" max="8" width="17.42578125" customWidth="1"/>
  </cols>
  <sheetData>
    <row r="1" spans="1:8" ht="39" customHeight="1" x14ac:dyDescent="0.25">
      <c r="A1" s="172" t="s">
        <v>100</v>
      </c>
      <c r="B1" s="172"/>
      <c r="C1" s="172"/>
      <c r="D1" s="172"/>
      <c r="E1" s="172"/>
      <c r="F1" s="172"/>
      <c r="G1" s="172"/>
      <c r="H1" s="172"/>
    </row>
    <row r="2" spans="1:8" s="86" customFormat="1" ht="60.75" customHeight="1" x14ac:dyDescent="0.3">
      <c r="A2" s="85" t="s">
        <v>1</v>
      </c>
      <c r="B2" s="156" t="s">
        <v>128</v>
      </c>
      <c r="C2" s="156" t="s">
        <v>129</v>
      </c>
      <c r="D2" s="156" t="s">
        <v>130</v>
      </c>
      <c r="E2" s="156" t="s">
        <v>131</v>
      </c>
      <c r="F2" s="156" t="s">
        <v>132</v>
      </c>
      <c r="G2" s="157" t="s">
        <v>133</v>
      </c>
      <c r="H2" s="157" t="s">
        <v>134</v>
      </c>
    </row>
    <row r="3" spans="1:8" ht="23.25" x14ac:dyDescent="0.25">
      <c r="A3" s="87"/>
      <c r="B3" s="88"/>
      <c r="C3" s="88"/>
      <c r="D3" s="88"/>
      <c r="E3" s="88"/>
      <c r="F3" s="88"/>
      <c r="G3" s="88"/>
      <c r="H3" s="88"/>
    </row>
    <row r="4" spans="1:8" ht="23.25" x14ac:dyDescent="0.35">
      <c r="A4" s="89" t="s">
        <v>72</v>
      </c>
      <c r="B4" s="89">
        <f t="array" ref="B4:F4">'Balance Sheet'!B42:F42</f>
        <v>244708.42999999996</v>
      </c>
      <c r="C4" s="89">
        <v>285445.59999999998</v>
      </c>
      <c r="D4" s="89">
        <v>288021.73999999993</v>
      </c>
      <c r="E4" s="89">
        <v>273423.5</v>
      </c>
      <c r="F4" s="89">
        <v>279394.80000000005</v>
      </c>
      <c r="G4" s="90">
        <f>'Balance Sheet'!G42</f>
        <v>297641.99797146209</v>
      </c>
      <c r="H4" s="90">
        <f>'Balance Sheet'!H42</f>
        <v>316261.78423292318</v>
      </c>
    </row>
    <row r="5" spans="1:8" ht="23.25" x14ac:dyDescent="0.35">
      <c r="A5" s="91" t="str">
        <f t="array" ref="A5:A23">'Balance Sheet'!A23:A41</f>
        <v>Non-Current Assets</v>
      </c>
      <c r="B5" s="92"/>
      <c r="C5" s="92"/>
      <c r="D5" s="92"/>
      <c r="E5" s="92"/>
      <c r="F5" s="92"/>
      <c r="G5" s="92"/>
      <c r="H5" s="93"/>
    </row>
    <row r="6" spans="1:8" ht="23.25" x14ac:dyDescent="0.35">
      <c r="A6" s="94" t="str">
        <v>Tangible Assets</v>
      </c>
      <c r="B6" s="95">
        <f>'Balance Sheet'!B24/'Common size BS'!$B$4</f>
        <v>0.52492858541898213</v>
      </c>
      <c r="C6" s="95">
        <f>'Balance Sheet'!C24/'Common size BS'!$C$4</f>
        <v>0.43617473872429635</v>
      </c>
      <c r="D6" s="95">
        <f>'Balance Sheet'!D24/'Common size BS'!$D$4</f>
        <v>0.44413057153255175</v>
      </c>
      <c r="E6" s="95">
        <f>'Balance Sheet'!E24/'Common size BS'!$E$4</f>
        <v>0.47956386338409096</v>
      </c>
      <c r="F6" s="95">
        <f>'Balance Sheet'!F24/'Common size BS'!$F$4</f>
        <v>0.47711381886849707</v>
      </c>
      <c r="G6" s="96">
        <f t="shared" ref="G6:G15" si="0">AVERAGE(B6:F6)</f>
        <v>0.47238231558568372</v>
      </c>
      <c r="H6" s="97">
        <f t="shared" ref="H6:H15" si="1">AVERAGE(C6:G6)</f>
        <v>0.46187306161902403</v>
      </c>
    </row>
    <row r="7" spans="1:8" ht="23.25" x14ac:dyDescent="0.35">
      <c r="A7" s="94" t="str">
        <v>Intangible Assets</v>
      </c>
      <c r="B7" s="95">
        <f>'Balance Sheet'!B25/'Common size BS'!$B$4</f>
        <v>1.2161575308214762E-2</v>
      </c>
      <c r="C7" s="95">
        <f>'Balance Sheet'!C25/'Common size BS'!$C$4</f>
        <v>1.5668379544123295E-2</v>
      </c>
      <c r="D7" s="95">
        <f>'Balance Sheet'!D25/'Common size BS'!$D$4</f>
        <v>4.5484587378716627E-2</v>
      </c>
      <c r="E7" s="95">
        <f>'Balance Sheet'!E25/'Common size BS'!$E$4</f>
        <v>4.3686991059656538E-2</v>
      </c>
      <c r="F7" s="95">
        <f>'Balance Sheet'!F25/'Common size BS'!$F$4</f>
        <v>4.1705894311561985E-2</v>
      </c>
      <c r="G7" s="96">
        <f t="shared" si="0"/>
        <v>3.1741485520454644E-2</v>
      </c>
      <c r="H7" s="97">
        <f t="shared" si="1"/>
        <v>3.5657467562902619E-2</v>
      </c>
    </row>
    <row r="8" spans="1:8" ht="23.25" x14ac:dyDescent="0.35">
      <c r="A8" s="94" t="str">
        <v>Intangible Assets Under Development</v>
      </c>
      <c r="B8" s="95">
        <f>'Balance Sheet'!B26/'Common size BS'!$B$4</f>
        <v>3.5906405022499638E-3</v>
      </c>
      <c r="C8" s="95">
        <f>'Balance Sheet'!C26/'Common size BS'!$C$4</f>
        <v>2.8654496688686041E-3</v>
      </c>
      <c r="D8" s="95">
        <f>'Balance Sheet'!D26/'Common size BS'!$D$4</f>
        <v>3.1425405596119246E-3</v>
      </c>
      <c r="E8" s="95">
        <f>'Balance Sheet'!E26/'Common size BS'!$E$4</f>
        <v>3.6037136529961764E-3</v>
      </c>
      <c r="F8" s="95">
        <f>'Balance Sheet'!F26/'Common size BS'!$F$4</f>
        <v>3.6524301812345824E-3</v>
      </c>
      <c r="G8" s="96">
        <f t="shared" si="0"/>
        <v>3.3709549129922502E-3</v>
      </c>
      <c r="H8" s="97">
        <f t="shared" si="1"/>
        <v>3.3270177951407074E-3</v>
      </c>
    </row>
    <row r="9" spans="1:8" ht="23.25" x14ac:dyDescent="0.35">
      <c r="A9" s="94" t="str">
        <v>Capital Work-In-Progress</v>
      </c>
      <c r="B9" s="95">
        <f>'Balance Sheet'!B27/'Common size BS'!$B$4</f>
        <v>7.4083021986614858E-2</v>
      </c>
      <c r="C9" s="95">
        <f>'Balance Sheet'!C27/'Common size BS'!$C$4</f>
        <v>7.4366604354735202E-2</v>
      </c>
      <c r="D9" s="95">
        <f>'Balance Sheet'!D27/'Common size BS'!$D$4</f>
        <v>0.10522782064992736</v>
      </c>
      <c r="E9" s="95">
        <f>'Balance Sheet'!E27/'Common size BS'!$E$4</f>
        <v>0.12204580074499816</v>
      </c>
      <c r="F9" s="95">
        <f>'Balance Sheet'!F27/'Common size BS'!$F$4</f>
        <v>0.14532081484694773</v>
      </c>
      <c r="G9" s="96">
        <f t="shared" si="0"/>
        <v>0.10420881251664467</v>
      </c>
      <c r="H9" s="97">
        <f t="shared" si="1"/>
        <v>0.11023397062265064</v>
      </c>
    </row>
    <row r="10" spans="1:8" ht="23.25" x14ac:dyDescent="0.35">
      <c r="A10" s="98" t="str">
        <v>Total Fixed Assets</v>
      </c>
      <c r="B10" s="99">
        <f>'Balance Sheet'!B28/'Common size BS'!$B$4</f>
        <v>0.61476382321606171</v>
      </c>
      <c r="C10" s="99">
        <f>'Balance Sheet'!C28/'Common size BS'!$C$4</f>
        <v>0.52907517229202339</v>
      </c>
      <c r="D10" s="99">
        <f>'Balance Sheet'!D28/'Common size BS'!$D$4</f>
        <v>0.59798552012080763</v>
      </c>
      <c r="E10" s="99">
        <f>'Balance Sheet'!E28/'Common size BS'!$E$4</f>
        <v>0.64890036884174174</v>
      </c>
      <c r="F10" s="99">
        <f>'Balance Sheet'!F28/'Common size BS'!$F$4</f>
        <v>0.66779295820824147</v>
      </c>
      <c r="G10" s="100">
        <f t="shared" si="0"/>
        <v>0.61170356853577523</v>
      </c>
      <c r="H10" s="101">
        <f t="shared" si="1"/>
        <v>0.61109151759971791</v>
      </c>
    </row>
    <row r="11" spans="1:8" ht="23.25" x14ac:dyDescent="0.35">
      <c r="A11" s="102" t="str">
        <v>Non-Current Investments</v>
      </c>
      <c r="B11" s="103">
        <f>'Balance Sheet'!B29/'Common size BS'!$B$4</f>
        <v>1.41516988196933E-2</v>
      </c>
      <c r="C11" s="103">
        <f>'Balance Sheet'!C29/'Common size BS'!$C$4</f>
        <v>1.6169210525578258E-2</v>
      </c>
      <c r="D11" s="103">
        <f>'Balance Sheet'!D29/'Common size BS'!$D$4</f>
        <v>1.6596837447062161E-2</v>
      </c>
      <c r="E11" s="103">
        <f>'Balance Sheet'!E29/'Common size BS'!$E$4</f>
        <v>2.0211686266908297E-2</v>
      </c>
      <c r="F11" s="103">
        <f>'Balance Sheet'!F29/'Common size BS'!$F$4</f>
        <v>2.0585422491757179E-2</v>
      </c>
      <c r="G11" s="104">
        <f t="shared" si="0"/>
        <v>1.754297111019984E-2</v>
      </c>
      <c r="H11" s="105">
        <f t="shared" si="1"/>
        <v>1.8221225568301146E-2</v>
      </c>
    </row>
    <row r="12" spans="1:8" ht="23.25" x14ac:dyDescent="0.35">
      <c r="A12" s="94" t="str">
        <v>Deferred Tax Assets (Net)</v>
      </c>
      <c r="B12" s="95">
        <f>'Balance Sheet'!B30/'Common size BS'!$B$4</f>
        <v>6.4485722866188151E-3</v>
      </c>
      <c r="C12" s="95">
        <f>'Balance Sheet'!C30/'Common size BS'!$C$4</f>
        <v>1.0593717331778805E-2</v>
      </c>
      <c r="D12" s="95">
        <f>'Balance Sheet'!D30/'Common size BS'!$D$4</f>
        <v>9.117228442547429E-3</v>
      </c>
      <c r="E12" s="95">
        <f>'Balance Sheet'!E30/'Common size BS'!$E$4</f>
        <v>1.5035576678668805E-2</v>
      </c>
      <c r="F12" s="95">
        <f>'Balance Sheet'!F30/'Common size BS'!$F$4</f>
        <v>1.4088379597615988E-2</v>
      </c>
      <c r="G12" s="96">
        <f t="shared" si="0"/>
        <v>1.1056694867445968E-2</v>
      </c>
      <c r="H12" s="97">
        <f t="shared" si="1"/>
        <v>1.1978319383611399E-2</v>
      </c>
    </row>
    <row r="13" spans="1:8" ht="23.25" x14ac:dyDescent="0.35">
      <c r="A13" s="94" t="str">
        <v>Long Term Loans &amp; Advances</v>
      </c>
      <c r="B13" s="95">
        <f>'Balance Sheet'!B31/'Common size BS'!$B$4</f>
        <v>3.7567156963084607E-4</v>
      </c>
      <c r="C13" s="95">
        <f>'Balance Sheet'!C31/'Common size BS'!$C$4</f>
        <v>4.4927649962024294E-3</v>
      </c>
      <c r="D13" s="95">
        <f>'Balance Sheet'!D31/'Common size BS'!$D$4</f>
        <v>2.2477469929874048E-4</v>
      </c>
      <c r="E13" s="95">
        <f>'Balance Sheet'!E31/'Common size BS'!$E$4</f>
        <v>2.6749712442419908E-4</v>
      </c>
      <c r="F13" s="95">
        <f>'Balance Sheet'!F31/'Common size BS'!$F$4</f>
        <v>4.1038702223520257E-4</v>
      </c>
      <c r="G13" s="96">
        <f t="shared" si="0"/>
        <v>1.1542190823582836E-3</v>
      </c>
      <c r="H13" s="97">
        <f t="shared" si="1"/>
        <v>1.309928584903771E-3</v>
      </c>
    </row>
    <row r="14" spans="1:8" ht="23.25" x14ac:dyDescent="0.35">
      <c r="A14" s="94" t="str">
        <v>Other Non-Current Assets</v>
      </c>
      <c r="B14" s="95">
        <f>'Balance Sheet'!B32/'Common size BS'!$B$4</f>
        <v>0.11820455061560407</v>
      </c>
      <c r="C14" s="95">
        <f>'Balance Sheet'!C32/'Common size BS'!$C$4</f>
        <v>0.11541607227436683</v>
      </c>
      <c r="D14" s="95">
        <f>'Balance Sheet'!D32/'Common size BS'!$D$4</f>
        <v>7.5176339119401206E-2</v>
      </c>
      <c r="E14" s="95">
        <f>'Balance Sheet'!E32/'Common size BS'!$E$4</f>
        <v>5.7566668556287226E-2</v>
      </c>
      <c r="F14" s="95">
        <f>'Balance Sheet'!F32/'Common size BS'!$F$4</f>
        <v>5.233826828559443E-2</v>
      </c>
      <c r="G14" s="96">
        <f t="shared" si="0"/>
        <v>8.3740379770250756E-2</v>
      </c>
      <c r="H14" s="97">
        <f t="shared" si="1"/>
        <v>7.6847545601180081E-2</v>
      </c>
    </row>
    <row r="15" spans="1:8" ht="23.25" x14ac:dyDescent="0.35">
      <c r="A15" s="106" t="str">
        <v>Total Non-Current Assets</v>
      </c>
      <c r="B15" s="107">
        <f>'Balance Sheet'!B33/'Common size BS'!$B$4</f>
        <v>0.75394431650760863</v>
      </c>
      <c r="C15" s="107">
        <f>'Balance Sheet'!C33/'Common size BS'!$C$4</f>
        <v>0.67574693741994973</v>
      </c>
      <c r="D15" s="107">
        <f>'Balance Sheet'!D33/'Common size BS'!$D$4</f>
        <v>0.69910069982911704</v>
      </c>
      <c r="E15" s="107">
        <f>'Balance Sheet'!E33/'Common size BS'!$E$4</f>
        <v>0.74198179746803028</v>
      </c>
      <c r="F15" s="107">
        <f>'Balance Sheet'!F33/'Common size BS'!$F$4</f>
        <v>0.75521541560544425</v>
      </c>
      <c r="G15" s="108">
        <f t="shared" si="0"/>
        <v>0.72519783336603005</v>
      </c>
      <c r="H15" s="109">
        <f t="shared" si="1"/>
        <v>0.71944853673771425</v>
      </c>
    </row>
    <row r="16" spans="1:8" ht="23.25" x14ac:dyDescent="0.35">
      <c r="A16" s="110" t="str">
        <v>Current Assets</v>
      </c>
      <c r="B16" s="111"/>
      <c r="C16" s="111"/>
      <c r="D16" s="111"/>
      <c r="E16" s="111"/>
      <c r="F16" s="111"/>
      <c r="G16" s="112"/>
      <c r="H16" s="113"/>
    </row>
    <row r="17" spans="1:8" ht="23.25" x14ac:dyDescent="0.35">
      <c r="A17" s="94" t="str">
        <v>Current Investments</v>
      </c>
      <c r="B17" s="95">
        <f>'Balance Sheet'!B35/'Common size BS'!$B$4</f>
        <v>2.9499964508782967E-2</v>
      </c>
      <c r="C17" s="95">
        <f>'Balance Sheet'!C35/'Common size BS'!$C$4</f>
        <v>2.986355368588621E-2</v>
      </c>
      <c r="D17" s="95">
        <f>'Balance Sheet'!D35/'Common size BS'!$D$4</f>
        <v>1.2603423616564502E-2</v>
      </c>
      <c r="E17" s="95">
        <f>'Balance Sheet'!E35/'Common size BS'!$E$4</f>
        <v>2.6743129248217512E-3</v>
      </c>
      <c r="F17" s="95">
        <f>'Balance Sheet'!F35/'Common size BS'!$F$4</f>
        <v>1.5843172457039284E-3</v>
      </c>
      <c r="G17" s="96">
        <f t="shared" ref="G17:H23" si="2">AVERAGE(B17:F17)</f>
        <v>1.5245114396351869E-2</v>
      </c>
      <c r="H17" s="97">
        <f t="shared" si="2"/>
        <v>1.2394144373865653E-2</v>
      </c>
    </row>
    <row r="18" spans="1:8" ht="23.25" x14ac:dyDescent="0.35">
      <c r="A18" s="94" t="str">
        <v>Inventories</v>
      </c>
      <c r="B18" s="95">
        <f>'Balance Sheet'!B36/'Common size BS'!$B$4</f>
        <v>0.13598379099567595</v>
      </c>
      <c r="C18" s="95">
        <f>'Balance Sheet'!C36/'Common size BS'!$C$4</f>
        <v>0.17104621686233734</v>
      </c>
      <c r="D18" s="95">
        <f>'Balance Sheet'!D36/'Common size BS'!$D$4</f>
        <v>0.18892785662637832</v>
      </c>
      <c r="E18" s="95">
        <f>'Balance Sheet'!E36/'Common size BS'!$E$4</f>
        <v>0.17978524157579726</v>
      </c>
      <c r="F18" s="95">
        <f>'Balance Sheet'!F36/'Common size BS'!$F$4</f>
        <v>0.15959473834158686</v>
      </c>
      <c r="G18" s="96">
        <f t="shared" si="2"/>
        <v>0.16706756888035515</v>
      </c>
      <c r="H18" s="97">
        <f t="shared" si="2"/>
        <v>0.17328432445729097</v>
      </c>
    </row>
    <row r="19" spans="1:8" ht="23.25" x14ac:dyDescent="0.35">
      <c r="A19" s="94" t="str">
        <v>Trade Receivables</v>
      </c>
      <c r="B19" s="95">
        <f>'Balance Sheet'!B37/'Common size BS'!$B$4</f>
        <v>3.8984517206865334E-2</v>
      </c>
      <c r="C19" s="95">
        <f>'Balance Sheet'!C37/'Common size BS'!$C$4</f>
        <v>4.2902850840930817E-2</v>
      </c>
      <c r="D19" s="95">
        <f>'Balance Sheet'!D37/'Common size BS'!$D$4</f>
        <v>2.8668808125386653E-2</v>
      </c>
      <c r="E19" s="95">
        <f>'Balance Sheet'!E37/'Common size BS'!$E$4</f>
        <v>2.2907796879200214E-2</v>
      </c>
      <c r="F19" s="95">
        <f>'Balance Sheet'!F37/'Common size BS'!$F$4</f>
        <v>1.8826620967892029E-2</v>
      </c>
      <c r="G19" s="96">
        <f t="shared" si="2"/>
        <v>3.0458118804055006E-2</v>
      </c>
      <c r="H19" s="97">
        <f t="shared" si="2"/>
        <v>2.875283912349294E-2</v>
      </c>
    </row>
    <row r="20" spans="1:8" ht="23.25" x14ac:dyDescent="0.35">
      <c r="A20" s="94" t="str">
        <v>Cash and Cash Equivalents</v>
      </c>
      <c r="B20" s="95">
        <f>'Balance Sheet'!B38/'Common size BS'!$B$4</f>
        <v>2.3628854960166274E-2</v>
      </c>
      <c r="C20" s="95">
        <f>'Balance Sheet'!C38/'Common size BS'!$C$4</f>
        <v>5.5698633995409287E-2</v>
      </c>
      <c r="D20" s="95">
        <f>'Balance Sheet'!D38/'Common size BS'!$D$4</f>
        <v>4.6375874265602322E-2</v>
      </c>
      <c r="E20" s="95">
        <f>'Balance Sheet'!E38/'Common size BS'!$E$4</f>
        <v>3.1737286663362875E-2</v>
      </c>
      <c r="F20" s="95">
        <f>'Balance Sheet'!F38/'Common size BS'!$F$4</f>
        <v>4.1686459447348334E-2</v>
      </c>
      <c r="G20" s="96">
        <f t="shared" si="2"/>
        <v>3.9825421866377816E-2</v>
      </c>
      <c r="H20" s="97">
        <f t="shared" si="2"/>
        <v>4.3064735247620126E-2</v>
      </c>
    </row>
    <row r="21" spans="1:8" ht="23.25" x14ac:dyDescent="0.35">
      <c r="A21" s="94" t="str">
        <v>Short Term Loans &amp; Advances</v>
      </c>
      <c r="B21" s="95">
        <f>'Balance Sheet'!B39/'Common size BS'!$B$4</f>
        <v>2.2843512174876856E-5</v>
      </c>
      <c r="C21" s="95">
        <f>'Balance Sheet'!C39/'Common size BS'!$C$4</f>
        <v>2.0459239869172971E-5</v>
      </c>
      <c r="D21" s="95">
        <f>'Balance Sheet'!D39/'Common size BS'!$D$4</f>
        <v>6.3884066529144658E-6</v>
      </c>
      <c r="E21" s="95">
        <f>'Balance Sheet'!E39/'Common size BS'!$E$4</f>
        <v>5.851728179911383E-6</v>
      </c>
      <c r="F21" s="95">
        <f>'Balance Sheet'!F39/'Common size BS'!$F$4</f>
        <v>1.7824240107546737E-5</v>
      </c>
      <c r="G21" s="96">
        <f t="shared" si="2"/>
        <v>1.4673425396884483E-5</v>
      </c>
      <c r="H21" s="97">
        <f t="shared" si="2"/>
        <v>1.3039408041286008E-5</v>
      </c>
    </row>
    <row r="22" spans="1:8" ht="23.25" x14ac:dyDescent="0.35">
      <c r="A22" s="94" t="str">
        <v>Other Current Assets</v>
      </c>
      <c r="B22" s="95">
        <f>'Balance Sheet'!B40/'Common size BS'!$B$4</f>
        <v>1.7935712308725944E-2</v>
      </c>
      <c r="C22" s="95">
        <f>'Balance Sheet'!C40/'Common size BS'!$C$4</f>
        <v>2.4721347955617465E-2</v>
      </c>
      <c r="D22" s="95">
        <f>'Balance Sheet'!D40/'Common size BS'!$D$4</f>
        <v>2.4316949130298297E-2</v>
      </c>
      <c r="E22" s="95">
        <f>'Balance Sheet'!E40/'Common size BS'!$E$4</f>
        <v>2.0907712760607627E-2</v>
      </c>
      <c r="F22" s="95">
        <f>'Balance Sheet'!F40/'Common size BS'!$F$4</f>
        <v>2.3074624151916925E-2</v>
      </c>
      <c r="G22" s="96">
        <f t="shared" si="2"/>
        <v>2.2191269261433253E-2</v>
      </c>
      <c r="H22" s="97">
        <f t="shared" si="2"/>
        <v>2.3042380651974712E-2</v>
      </c>
    </row>
    <row r="23" spans="1:8" ht="23.25" x14ac:dyDescent="0.35">
      <c r="A23" s="106" t="str">
        <v>Total Current Assets</v>
      </c>
      <c r="B23" s="107">
        <f>'Balance Sheet'!B41/'Common size BS'!$B$4</f>
        <v>0.24605568349239135</v>
      </c>
      <c r="C23" s="107">
        <f>'Balance Sheet'!C41/'Common size BS'!$C$4</f>
        <v>0.32425306258005027</v>
      </c>
      <c r="D23" s="107">
        <f>'Balance Sheet'!D41/'Common size BS'!$D$4</f>
        <v>0.30089930017088296</v>
      </c>
      <c r="E23" s="107">
        <f>'Balance Sheet'!E41/'Common size BS'!$E$4</f>
        <v>0.25801820253196966</v>
      </c>
      <c r="F23" s="107">
        <f>'Balance Sheet'!F41/'Common size BS'!$F$4</f>
        <v>0.24478458439455564</v>
      </c>
      <c r="G23" s="108">
        <f t="shared" si="2"/>
        <v>0.27480216663396995</v>
      </c>
      <c r="H23" s="109">
        <f t="shared" si="2"/>
        <v>0.28055146326228569</v>
      </c>
    </row>
    <row r="24" spans="1:8" ht="23.25" x14ac:dyDescent="0.35">
      <c r="A24" s="110" t="str">
        <f t="array" ref="A24:A40">'Balance Sheet'!A4:A20</f>
        <v>Shareholders' Funds</v>
      </c>
      <c r="B24" s="112"/>
      <c r="C24" s="112"/>
      <c r="D24" s="112"/>
      <c r="E24" s="112"/>
      <c r="F24" s="112"/>
      <c r="G24" s="112"/>
      <c r="H24" s="113"/>
    </row>
    <row r="25" spans="1:8" ht="23.25" x14ac:dyDescent="0.35">
      <c r="A25" s="94" t="str">
        <v>Equity Share Capital</v>
      </c>
      <c r="B25" s="95">
        <f>'Balance Sheet'!B5/'Common size BS'!$B$4</f>
        <v>4.8940283749113181E-3</v>
      </c>
      <c r="C25" s="95">
        <f>'Balance Sheet'!C5/'Common size BS'!$C$4</f>
        <v>4.2782582740809464E-3</v>
      </c>
      <c r="D25" s="95">
        <f>'Balance Sheet'!D5/'Common size BS'!$D$4</f>
        <v>4.240096598263729E-3</v>
      </c>
      <c r="E25" s="95">
        <f>'Balance Sheet'!E5/'Common size BS'!$E$4</f>
        <v>4.5622998754679097E-3</v>
      </c>
      <c r="F25" s="95">
        <f>'Balance Sheet'!F5/'Common size BS'!$F$4</f>
        <v>4.4647931887064462E-3</v>
      </c>
      <c r="G25" s="96">
        <f t="shared" ref="G25:H28" si="3">AVERAGE(B25:F25)</f>
        <v>4.4878952622860692E-3</v>
      </c>
      <c r="H25" s="97">
        <f t="shared" si="3"/>
        <v>4.4066686397610192E-3</v>
      </c>
    </row>
    <row r="26" spans="1:8" ht="23.25" x14ac:dyDescent="0.35">
      <c r="A26" s="94" t="str">
        <v>Reserves and Surplus</v>
      </c>
      <c r="B26" s="95">
        <f>'Balance Sheet'!B6/'Common size BS'!$B$4</f>
        <v>0.29529992080779571</v>
      </c>
      <c r="C26" s="95">
        <f>'Balance Sheet'!C6/'Common size BS'!$C$4</f>
        <v>0.39664941410902815</v>
      </c>
      <c r="D26" s="95">
        <f>'Balance Sheet'!D6/'Common size BS'!$D$4</f>
        <v>0.35365684548673315</v>
      </c>
      <c r="E26" s="95">
        <f>'Balance Sheet'!E6/'Common size BS'!$E$4</f>
        <v>0.33204285659425764</v>
      </c>
      <c r="F26" s="95">
        <f>'Balance Sheet'!F6/'Common size BS'!$F$4</f>
        <v>0.32184632641695549</v>
      </c>
      <c r="G26" s="96">
        <f t="shared" si="3"/>
        <v>0.33989907268295405</v>
      </c>
      <c r="H26" s="97">
        <f t="shared" si="3"/>
        <v>0.34881890305798569</v>
      </c>
    </row>
    <row r="27" spans="1:8" ht="23.25" x14ac:dyDescent="0.35">
      <c r="A27" s="114" t="str">
        <v>Total Shareholders' Funds</v>
      </c>
      <c r="B27" s="115">
        <f>'Balance Sheet'!B7/'Common size BS'!$B$4</f>
        <v>0.30019394918270703</v>
      </c>
      <c r="C27" s="115">
        <f>'Balance Sheet'!C7/'Common size BS'!$C$4</f>
        <v>0.40092767238310911</v>
      </c>
      <c r="D27" s="115">
        <f>'Balance Sheet'!D7/'Common size BS'!$D$4</f>
        <v>0.35789694208499689</v>
      </c>
      <c r="E27" s="115">
        <f>'Balance Sheet'!E7/'Common size BS'!$E$4</f>
        <v>0.33660515646972555</v>
      </c>
      <c r="F27" s="115">
        <f>'Balance Sheet'!F7/'Common size BS'!$F$4</f>
        <v>0.32631111960566189</v>
      </c>
      <c r="G27" s="116">
        <f t="shared" si="3"/>
        <v>0.34438696794524015</v>
      </c>
      <c r="H27" s="117">
        <f t="shared" si="3"/>
        <v>0.35322557169774671</v>
      </c>
    </row>
    <row r="28" spans="1:8" ht="23.25" x14ac:dyDescent="0.35">
      <c r="A28" s="94" t="str">
        <v>Minority Interest</v>
      </c>
      <c r="B28" s="95">
        <f>'Balance Sheet'!B8/'Common size BS'!$B$4</f>
        <v>1.3361533969222067E-2</v>
      </c>
      <c r="C28" s="95">
        <f>'Balance Sheet'!C8/'Common size BS'!$C$4</f>
        <v>9.3027182762670021E-3</v>
      </c>
      <c r="D28" s="95">
        <f>'Balance Sheet'!D8/'Common size BS'!$D$4</f>
        <v>7.2671944833053248E-3</v>
      </c>
      <c r="E28" s="95">
        <f>'Balance Sheet'!E8/'Common size BS'!$E$4</f>
        <v>1.451886908038263E-3</v>
      </c>
      <c r="F28" s="95">
        <f>'Balance Sheet'!F8/'Common size BS'!$F$4</f>
        <v>6.555240111841737E-4</v>
      </c>
      <c r="G28" s="96">
        <f t="shared" si="3"/>
        <v>6.407771529603366E-3</v>
      </c>
      <c r="H28" s="97">
        <f t="shared" si="3"/>
        <v>5.0170190416796252E-3</v>
      </c>
    </row>
    <row r="29" spans="1:8" ht="23.25" x14ac:dyDescent="0.35">
      <c r="A29" s="110" t="str">
        <v>Non-Current Liabilities</v>
      </c>
      <c r="B29" s="111"/>
      <c r="C29" s="111"/>
      <c r="D29" s="111"/>
      <c r="E29" s="111"/>
      <c r="F29" s="111"/>
      <c r="G29" s="112"/>
      <c r="H29" s="113"/>
    </row>
    <row r="30" spans="1:8" ht="23.25" x14ac:dyDescent="0.35">
      <c r="A30" s="118" t="str">
        <v>Long Term Borrowings</v>
      </c>
      <c r="B30" s="119">
        <f>'Balance Sheet'!B10/'Common size BS'!$B$4</f>
        <v>0.26847464960647249</v>
      </c>
      <c r="C30" s="119">
        <f>'Balance Sheet'!C10/'Common size BS'!$C$4</f>
        <v>0.15682172014562495</v>
      </c>
      <c r="D30" s="119">
        <f>'Balance Sheet'!D10/'Common size BS'!$D$4</f>
        <v>0.17861960697827883</v>
      </c>
      <c r="E30" s="119">
        <f>'Balance Sheet'!E10/'Common size BS'!$E$4</f>
        <v>0.18863312773042554</v>
      </c>
      <c r="F30" s="119">
        <f>'Balance Sheet'!F10/'Common size BS'!$F$4</f>
        <v>0.2453582171178561</v>
      </c>
      <c r="G30" s="119">
        <f>'Balance Sheet'!G10/'Common size BS'!G4</f>
        <v>0.23031632117512107</v>
      </c>
      <c r="H30" s="119">
        <f>'Balance Sheet'!H10/'Common size BS'!H4</f>
        <v>0.21675653973264242</v>
      </c>
    </row>
    <row r="31" spans="1:8" ht="23.25" x14ac:dyDescent="0.35">
      <c r="A31" s="94" t="str">
        <v>Deferred Tax Liabilities (Net)</v>
      </c>
      <c r="B31" s="95">
        <f>'Balance Sheet'!B11/'Common size BS'!$B$4</f>
        <v>3.7765025095375757E-2</v>
      </c>
      <c r="C31" s="95">
        <f>'Balance Sheet'!C11/'Common size BS'!$C$4</f>
        <v>4.3180837259358708E-2</v>
      </c>
      <c r="D31" s="95">
        <f>'Balance Sheet'!D11/'Common size BS'!$D$4</f>
        <v>4.9008939394644319E-2</v>
      </c>
      <c r="E31" s="95">
        <f>'Balance Sheet'!E11/'Common size BS'!$E$4</f>
        <v>4.751727631311866E-2</v>
      </c>
      <c r="F31" s="95">
        <f>'Balance Sheet'!F11/'Common size BS'!$F$4</f>
        <v>5.1647883210424808E-2</v>
      </c>
      <c r="G31" s="96">
        <f t="shared" ref="G31:H34" si="4">AVERAGE(B31:F31)</f>
        <v>4.5823992254584459E-2</v>
      </c>
      <c r="H31" s="97">
        <f t="shared" si="4"/>
        <v>4.7435785686426188E-2</v>
      </c>
    </row>
    <row r="32" spans="1:8" ht="23.25" x14ac:dyDescent="0.35">
      <c r="A32" s="94" t="str">
        <v>Other Long Term Liabilities</v>
      </c>
      <c r="B32" s="95">
        <f>'Balance Sheet'!B12/'Common size BS'!$B$4</f>
        <v>7.1433092844410795E-2</v>
      </c>
      <c r="C32" s="95">
        <f>'Balance Sheet'!C12/'Common size BS'!$C$4</f>
        <v>5.5503780755422401E-2</v>
      </c>
      <c r="D32" s="95">
        <f>'Balance Sheet'!D12/'Common size BS'!$D$4</f>
        <v>5.2820978027561402E-2</v>
      </c>
      <c r="E32" s="95">
        <f>'Balance Sheet'!E12/'Common size BS'!$E$4</f>
        <v>4.6061073755547716E-2</v>
      </c>
      <c r="F32" s="95">
        <f>'Balance Sheet'!F12/'Common size BS'!$F$4</f>
        <v>4.7101842983477138E-2</v>
      </c>
      <c r="G32" s="96">
        <f t="shared" si="4"/>
        <v>5.4584153673283883E-2</v>
      </c>
      <c r="H32" s="97">
        <f t="shared" si="4"/>
        <v>5.1214365839058508E-2</v>
      </c>
    </row>
    <row r="33" spans="1:9" ht="23.25" x14ac:dyDescent="0.35">
      <c r="A33" s="94" t="str">
        <v>Long Term Provisions</v>
      </c>
      <c r="B33" s="95">
        <f>'Balance Sheet'!B13/'Common size BS'!$B$4</f>
        <v>1.9173511921922758E-2</v>
      </c>
      <c r="C33" s="95">
        <f>'Balance Sheet'!C13/'Common size BS'!$C$4</f>
        <v>1.6906829182162905E-2</v>
      </c>
      <c r="D33" s="95">
        <f>'Balance Sheet'!D13/'Common size BS'!$D$4</f>
        <v>1.658152610285599E-2</v>
      </c>
      <c r="E33" s="95">
        <f>'Balance Sheet'!E13/'Common size BS'!$E$4</f>
        <v>1.983746824980296E-2</v>
      </c>
      <c r="F33" s="95">
        <f>'Balance Sheet'!F13/'Common size BS'!$F$4</f>
        <v>2.0782419715757054E-2</v>
      </c>
      <c r="G33" s="96">
        <f t="shared" si="4"/>
        <v>1.8656351034500335E-2</v>
      </c>
      <c r="H33" s="97">
        <f t="shared" si="4"/>
        <v>1.8552918857015849E-2</v>
      </c>
    </row>
    <row r="34" spans="1:9" ht="23.25" x14ac:dyDescent="0.35">
      <c r="A34" s="106" t="str">
        <v>Total Non-Current Liabilities</v>
      </c>
      <c r="B34" s="107">
        <f>'Balance Sheet'!B14/'Common size BS'!$B$4</f>
        <v>0.3968462794681818</v>
      </c>
      <c r="C34" s="107">
        <f>'Balance Sheet'!C14/'Common size BS'!$C$4</f>
        <v>0.27241316734256898</v>
      </c>
      <c r="D34" s="107">
        <f>'Balance Sheet'!D14/'Common size BS'!$D$4</f>
        <v>0.2970310505033405</v>
      </c>
      <c r="E34" s="107">
        <f>'Balance Sheet'!E14/'Common size BS'!$E$4</f>
        <v>0.30204894604889482</v>
      </c>
      <c r="F34" s="107">
        <f>'Balance Sheet'!F14/'Common size BS'!$F$4</f>
        <v>0.3648903630275151</v>
      </c>
      <c r="G34" s="108">
        <f t="shared" si="4"/>
        <v>0.32664596127810025</v>
      </c>
      <c r="H34" s="109">
        <f t="shared" si="4"/>
        <v>0.31260589764008395</v>
      </c>
    </row>
    <row r="35" spans="1:9" ht="23.25" x14ac:dyDescent="0.35">
      <c r="A35" s="110" t="str">
        <v>Current Liabilities</v>
      </c>
      <c r="B35" s="111"/>
      <c r="C35" s="111"/>
      <c r="D35" s="111"/>
      <c r="E35" s="111"/>
      <c r="F35" s="111"/>
      <c r="G35" s="112"/>
      <c r="H35" s="113"/>
    </row>
    <row r="36" spans="1:9" ht="23.25" x14ac:dyDescent="0.35">
      <c r="A36" s="94" t="str">
        <v>Short Term Borrowings</v>
      </c>
      <c r="B36" s="95">
        <f>'Balance Sheet'!B16/'Common size BS'!$B$4</f>
        <v>6.1170634783607583E-2</v>
      </c>
      <c r="C36" s="95">
        <f>'Balance Sheet'!C16/'Common size BS'!$C$4</f>
        <v>8.4305415813030582E-2</v>
      </c>
      <c r="D36" s="95">
        <f>'Balance Sheet'!D16/'Common size BS'!$D$4</f>
        <v>9.225473743752817E-2</v>
      </c>
      <c r="E36" s="95">
        <f>'Balance Sheet'!E16/'Common size BS'!$E$4</f>
        <v>0.10970962627572245</v>
      </c>
      <c r="F36" s="95">
        <f>'Balance Sheet'!F16/'Common size BS'!$F$4</f>
        <v>7.305790945286024E-2</v>
      </c>
      <c r="G36" s="95">
        <f>'Balance Sheet'!G16/'Common size BS'!G4</f>
        <v>6.8579031652505909E-2</v>
      </c>
      <c r="H36" s="95">
        <f>'Balance Sheet'!H16/'Common size BS'!H4</f>
        <v>6.4541468547988701E-2</v>
      </c>
    </row>
    <row r="37" spans="1:9" ht="23.25" x14ac:dyDescent="0.35">
      <c r="A37" s="94" t="str">
        <v>Trade Payables</v>
      </c>
      <c r="B37" s="95">
        <f>'Balance Sheet'!B17/'Common size BS'!$B$4</f>
        <v>0.10611604185438159</v>
      </c>
      <c r="C37" s="95">
        <f>'Balance Sheet'!C17/'Common size BS'!$C$4</f>
        <v>0.12879816679605502</v>
      </c>
      <c r="D37" s="95">
        <f>'Balance Sheet'!D17/'Common size BS'!$D$4</f>
        <v>0.13135307077861558</v>
      </c>
      <c r="E37" s="95">
        <f>'Balance Sheet'!E17/'Common size BS'!$E$4</f>
        <v>0.12959624904223668</v>
      </c>
      <c r="F37" s="95">
        <f>'Balance Sheet'!F17/'Common size BS'!$F$4</f>
        <v>0.10492099351884858</v>
      </c>
      <c r="G37" s="96">
        <f t="shared" ref="G37:H40" si="5">AVERAGE(B37:F37)</f>
        <v>0.12015690439802748</v>
      </c>
      <c r="H37" s="97">
        <f t="shared" si="5"/>
        <v>0.12296507690675666</v>
      </c>
    </row>
    <row r="38" spans="1:9" ht="23.25" x14ac:dyDescent="0.35">
      <c r="A38" s="94" t="str">
        <v>Other Current Liabilities</v>
      </c>
      <c r="B38" s="95">
        <f>'Balance Sheet'!B18/'Common size BS'!$B$4</f>
        <v>0.10300155985635641</v>
      </c>
      <c r="C38" s="95">
        <f>'Balance Sheet'!C18/'Common size BS'!$C$4</f>
        <v>9.4554023603797013E-2</v>
      </c>
      <c r="D38" s="95">
        <f>'Balance Sheet'!D18/'Common size BS'!$D$4</f>
        <v>0.10071632092771889</v>
      </c>
      <c r="E38" s="95">
        <f>'Balance Sheet'!E18/'Common size BS'!$E$4</f>
        <v>0.10676679217404503</v>
      </c>
      <c r="F38" s="95">
        <f>'Balance Sheet'!F18/'Common size BS'!$F$4</f>
        <v>0.11624726014943727</v>
      </c>
      <c r="G38" s="96">
        <f t="shared" si="5"/>
        <v>0.10425719134227093</v>
      </c>
      <c r="H38" s="97">
        <f t="shared" si="5"/>
        <v>0.10450831763945383</v>
      </c>
    </row>
    <row r="39" spans="1:9" ht="23.25" x14ac:dyDescent="0.35">
      <c r="A39" s="94" t="str">
        <v>Short Term Provisions</v>
      </c>
      <c r="B39" s="95">
        <f>'Balance Sheet'!B19/'Common size BS'!$B$4</f>
        <v>1.9310000885543667E-2</v>
      </c>
      <c r="C39" s="119">
        <f>'Balance Sheet'!C19/'Common size BS'!$C$4</f>
        <v>9.6988357851723762E-3</v>
      </c>
      <c r="D39" s="119">
        <f>'Balance Sheet'!D19/'Common size BS'!$D$4</f>
        <v>1.3480683784494882E-2</v>
      </c>
      <c r="E39" s="119">
        <f>'Balance Sheet'!E19/'Common size BS'!$E$4</f>
        <v>1.3821343081337192E-2</v>
      </c>
      <c r="F39" s="119">
        <f>'Balance Sheet'!F19/'Common size BS'!$F$4</f>
        <v>1.391683023449255E-2</v>
      </c>
      <c r="G39" s="120">
        <f t="shared" si="5"/>
        <v>1.4045538754208133E-2</v>
      </c>
      <c r="H39" s="121">
        <f t="shared" si="5"/>
        <v>1.2992646327941027E-2</v>
      </c>
    </row>
    <row r="40" spans="1:9" ht="23.25" x14ac:dyDescent="0.35">
      <c r="A40" s="122" t="str">
        <v>Total Current Liabilities</v>
      </c>
      <c r="B40" s="123">
        <f>'Balance Sheet'!B20/'Common size BS'!$B$4</f>
        <v>0.28959823737988927</v>
      </c>
      <c r="C40" s="123">
        <f>'Balance Sheet'!C20/'Common size BS'!$C$4</f>
        <v>0.31735644199805507</v>
      </c>
      <c r="D40" s="123">
        <f>'Balance Sheet'!D20/'Common size BS'!$D$4</f>
        <v>0.33780481292835751</v>
      </c>
      <c r="E40" s="123">
        <f>'Balance Sheet'!E20/'Common size BS'!$E$4</f>
        <v>0.35989401057334142</v>
      </c>
      <c r="F40" s="123">
        <f>'Balance Sheet'!F20/'Common size BS'!$F$4</f>
        <v>0.30814299335563866</v>
      </c>
      <c r="G40" s="124">
        <f t="shared" si="5"/>
        <v>0.3225592992470564</v>
      </c>
      <c r="H40" s="125">
        <f t="shared" si="5"/>
        <v>0.32915151162048983</v>
      </c>
      <c r="I40" s="126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"/>
  <sheetViews>
    <sheetView zoomScale="55" zoomScaleNormal="55" workbookViewId="0">
      <pane ySplit="510" topLeftCell="A7" activePane="bottomLeft"/>
      <selection pane="bottomLeft" activeCell="G2" sqref="G2:H2"/>
    </sheetView>
  </sheetViews>
  <sheetFormatPr defaultColWidth="8.7109375" defaultRowHeight="15" x14ac:dyDescent="0.25"/>
  <cols>
    <col min="1" max="1" width="50.5703125" customWidth="1"/>
    <col min="2" max="8" width="22.140625" customWidth="1"/>
  </cols>
  <sheetData>
    <row r="1" spans="1:12" ht="30.75" customHeight="1" x14ac:dyDescent="0.25">
      <c r="A1" s="173" t="s">
        <v>101</v>
      </c>
      <c r="B1" s="173"/>
      <c r="C1" s="173"/>
      <c r="D1" s="173"/>
      <c r="E1" s="173"/>
      <c r="F1" s="173"/>
      <c r="G1" s="173"/>
      <c r="H1" s="173"/>
    </row>
    <row r="2" spans="1:12" s="161" customFormat="1" ht="58.5" customHeight="1" x14ac:dyDescent="0.35">
      <c r="A2" s="158" t="s">
        <v>1</v>
      </c>
      <c r="B2" s="159" t="s">
        <v>128</v>
      </c>
      <c r="C2" s="159" t="s">
        <v>129</v>
      </c>
      <c r="D2" s="159" t="s">
        <v>130</v>
      </c>
      <c r="E2" s="159" t="s">
        <v>131</v>
      </c>
      <c r="F2" s="159" t="s">
        <v>132</v>
      </c>
      <c r="G2" s="160" t="s">
        <v>133</v>
      </c>
      <c r="H2" s="160" t="s">
        <v>134</v>
      </c>
    </row>
    <row r="3" spans="1:12" ht="24" customHeight="1" x14ac:dyDescent="0.35">
      <c r="A3" s="127" t="s">
        <v>4</v>
      </c>
      <c r="B3" s="128">
        <f t="array" ref="B3:F3">'P &amp; L Statement'!B4:F4</f>
        <v>156477.4</v>
      </c>
      <c r="C3" s="128">
        <v>243959.17</v>
      </c>
      <c r="D3" s="128">
        <v>243352.69</v>
      </c>
      <c r="E3" s="128">
        <v>229170.78</v>
      </c>
      <c r="F3" s="128">
        <v>218542.51</v>
      </c>
      <c r="G3" s="129">
        <f>'P &amp; L Statement'!G4</f>
        <v>237578.42727841757</v>
      </c>
      <c r="H3" s="129">
        <f>'P &amp; L Statement'!H4</f>
        <v>258272.44826686734</v>
      </c>
    </row>
    <row r="4" spans="1:12" ht="21" x14ac:dyDescent="0.35">
      <c r="A4" s="130" t="str">
        <f t="array" ref="A4:A31">'P &amp; L Statement'!A5:A32</f>
        <v>Non-operating income</v>
      </c>
      <c r="B4" s="131">
        <f>'P &amp; L Statement'!B5/'Common size pl'!$B$3</f>
        <v>-4.9686536202672077E-2</v>
      </c>
      <c r="C4" s="131">
        <f>'P &amp; L Statement'!C5/'Common size pl'!$C$3</f>
        <v>4.1696321560693948E-3</v>
      </c>
      <c r="D4" s="131">
        <f>'P &amp; L Statement'!D5/'Common size pl'!$D$3</f>
        <v>-3.6288318818255103E-2</v>
      </c>
      <c r="E4" s="131">
        <f>'P &amp; L Statement'!E5/'Common size pl'!$E$3</f>
        <v>-4.6588836500011034E-2</v>
      </c>
      <c r="F4" s="131">
        <f>'P &amp; L Statement'!F5/'Common size pl'!$F$3</f>
        <v>2.9074434992075451E-3</v>
      </c>
      <c r="G4" s="132">
        <f>AVERAGE(B4:F4)</f>
        <v>-2.5097323173132253E-2</v>
      </c>
      <c r="H4" s="132">
        <f>AVERAGE(C4:G4)</f>
        <v>-2.0179480567224288E-2</v>
      </c>
    </row>
    <row r="5" spans="1:12" ht="21" x14ac:dyDescent="0.35">
      <c r="A5" s="130" t="str">
        <v>Stock Adjustments</v>
      </c>
      <c r="B5" s="131">
        <f>'P &amp; L Statement'!B6/'Common size pl'!$B$3</f>
        <v>-9.6932208740687156E-3</v>
      </c>
      <c r="C5" s="131">
        <f>'P &amp; L Statement'!C6/'Common size pl'!$C$3</f>
        <v>3.1144022993683736E-2</v>
      </c>
      <c r="D5" s="131">
        <f>'P &amp; L Statement'!D6/'Common size pl'!$D$3</f>
        <v>1.3802559568994285E-2</v>
      </c>
      <c r="E5" s="131">
        <f>'P &amp; L Statement'!E6/'Common size pl'!$E$3</f>
        <v>-1.9240454651330334E-2</v>
      </c>
      <c r="F5" s="131">
        <f>'P &amp; L Statement'!F6/'Common size pl'!$F$3</f>
        <v>4.4224805508090854E-4</v>
      </c>
      <c r="G5" s="132">
        <f>AVERAGE(B5:F5)</f>
        <v>3.2910310184719759E-3</v>
      </c>
      <c r="H5" s="132">
        <f>AVERAGE(C5:G5)</f>
        <v>5.8878813969801148E-3</v>
      </c>
    </row>
    <row r="6" spans="1:12" ht="21" x14ac:dyDescent="0.35">
      <c r="A6" s="130" t="str">
        <v>Total Income</v>
      </c>
      <c r="B6" s="131">
        <f>'P &amp; L Statement'!B7/'Common size pl'!$B$3</f>
        <v>0.94062024292325919</v>
      </c>
      <c r="C6" s="131">
        <f>'P &amp; L Statement'!C7/'Common size pl'!$C$3</f>
        <v>1.035313655149753</v>
      </c>
      <c r="D6" s="131">
        <f>'P &amp; L Statement'!D7/'Common size pl'!$D$3</f>
        <v>0.97751424075073934</v>
      </c>
      <c r="E6" s="131">
        <f>'P &amp; L Statement'!E7/'Common size pl'!$E$3</f>
        <v>0.9341707088486586</v>
      </c>
      <c r="F6" s="131">
        <f>'P &amp; L Statement'!F7/'Common size pl'!$F$3</f>
        <v>1.0033496915542883</v>
      </c>
      <c r="G6" s="131">
        <f>'P &amp; L Statement'!G7/G3</f>
        <v>0.97819370784533977</v>
      </c>
      <c r="H6" s="131">
        <f>'P &amp; L Statement'!H7/H3</f>
        <v>0.98570840082975575</v>
      </c>
    </row>
    <row r="7" spans="1:12" ht="21" x14ac:dyDescent="0.35">
      <c r="A7" s="133" t="str">
        <v>EXPENDITURE</v>
      </c>
      <c r="B7" s="134"/>
      <c r="C7" s="134"/>
      <c r="D7" s="134"/>
      <c r="E7" s="134"/>
      <c r="F7" s="135"/>
      <c r="G7" s="136"/>
      <c r="H7" s="136"/>
    </row>
    <row r="8" spans="1:12" ht="21" x14ac:dyDescent="0.35">
      <c r="A8" s="130" t="str">
        <v>Raw Materials</v>
      </c>
      <c r="B8" s="131">
        <f>'P &amp; L Statement'!B9/'Common size pl'!$B$3</f>
        <v>0.42158880451745745</v>
      </c>
      <c r="C8" s="131">
        <f>'P &amp; L Statement'!C9/'Common size pl'!$C$3</f>
        <v>0.4387435405686943</v>
      </c>
      <c r="D8" s="131">
        <f>'P &amp; L Statement'!D9/'Common size pl'!$D$3</f>
        <v>0.5673751541435601</v>
      </c>
      <c r="E8" s="131">
        <f>'P &amp; L Statement'!E9/'Common size pl'!$E$3</f>
        <v>0.50725245164326793</v>
      </c>
      <c r="F8" s="131">
        <f>'P &amp; L Statement'!F9/'Common size pl'!$F$3</f>
        <v>0.48538007548279732</v>
      </c>
      <c r="G8" s="132">
        <f t="shared" ref="G8:H12" si="0">AVERAGE(B8:F8)</f>
        <v>0.4840680052711554</v>
      </c>
      <c r="H8" s="132">
        <f t="shared" si="0"/>
        <v>0.49656384542189497</v>
      </c>
    </row>
    <row r="9" spans="1:12" ht="21" x14ac:dyDescent="0.35">
      <c r="A9" s="130" t="str">
        <v>Power &amp; Fuel Cost</v>
      </c>
      <c r="B9" s="131">
        <f>'P &amp; L Statement'!B10/'Common size pl'!$B$3</f>
        <v>3.6480795309738023E-2</v>
      </c>
      <c r="C9" s="131">
        <f>'P &amp; L Statement'!C10/'Common size pl'!$C$3</f>
        <v>3.2908334620092371E-2</v>
      </c>
      <c r="D9" s="131">
        <f>'P &amp; L Statement'!D10/'Common size pl'!$D$3</f>
        <v>3.9148570743146496E-2</v>
      </c>
      <c r="E9" s="131">
        <f>'P &amp; L Statement'!E10/'Common size pl'!$E$3</f>
        <v>4.3949102062662615E-2</v>
      </c>
      <c r="F9" s="131">
        <f>'P &amp; L Statement'!F10/'Common size pl'!$F$3</f>
        <v>6.0056279210850098E-2</v>
      </c>
      <c r="G9" s="132">
        <f t="shared" si="0"/>
        <v>4.2508616389297926E-2</v>
      </c>
      <c r="H9" s="132">
        <f t="shared" si="0"/>
        <v>4.3714180605209901E-2</v>
      </c>
    </row>
    <row r="10" spans="1:12" ht="21" x14ac:dyDescent="0.35">
      <c r="A10" s="130" t="str">
        <v>Employee Cost</v>
      </c>
      <c r="B10" s="131">
        <f>'P &amp; L Statement'!B11/'Common size pl'!$B$3</f>
        <v>0.12723121677635238</v>
      </c>
      <c r="C10" s="131">
        <f>'P &amp; L Statement'!C11/'Common size pl'!$C$3</f>
        <v>9.5360629403682576E-2</v>
      </c>
      <c r="D10" s="131">
        <f>'P &amp; L Statement'!D11/'Common size pl'!$D$3</f>
        <v>9.2126863278149909E-2</v>
      </c>
      <c r="E10" s="131">
        <f>'P &amp; L Statement'!E11/'Common size pl'!$E$3</f>
        <v>0.10694897490858128</v>
      </c>
      <c r="F10" s="131">
        <f>'P &amp; L Statement'!F11/'Common size pl'!$F$3</f>
        <v>0.11388626404995532</v>
      </c>
      <c r="G10" s="132">
        <f t="shared" si="0"/>
        <v>0.10711078968334428</v>
      </c>
      <c r="H10" s="132">
        <f t="shared" si="0"/>
        <v>0.10308670426474267</v>
      </c>
      <c r="I10" s="137"/>
    </row>
    <row r="11" spans="1:12" ht="21" x14ac:dyDescent="0.35">
      <c r="A11" s="130" t="str">
        <v>Miscellaneous Expenses</v>
      </c>
      <c r="B11" s="131">
        <f>'P &amp; L Statement'!B12/'Common size pl'!$B$3</f>
        <v>0.21006241156869937</v>
      </c>
      <c r="C11" s="131">
        <f>'P &amp; L Statement'!C12/'Common size pl'!$C$3</f>
        <v>0.20388325636621898</v>
      </c>
      <c r="D11" s="131">
        <f>'P &amp; L Statement'!D12/'Common size pl'!$D$3</f>
        <v>0.1824221462273542</v>
      </c>
      <c r="E11" s="131">
        <f>'P &amp; L Statement'!E12/'Common size pl'!$E$3</f>
        <v>0.2252759274109902</v>
      </c>
      <c r="F11" s="131">
        <f>'P &amp; L Statement'!F12/'Common size pl'!$F$3</f>
        <v>0.2253597709662985</v>
      </c>
      <c r="G11" s="132">
        <f t="shared" si="0"/>
        <v>0.20940070250791226</v>
      </c>
      <c r="H11" s="132">
        <f t="shared" si="0"/>
        <v>0.20926836069575483</v>
      </c>
    </row>
    <row r="12" spans="1:12" ht="21" x14ac:dyDescent="0.35">
      <c r="A12" s="130" t="str">
        <v>COGS</v>
      </c>
      <c r="B12" s="131">
        <f>'P &amp; L Statement'!B13/'Common size pl'!$B$3</f>
        <v>0.79536322817224725</v>
      </c>
      <c r="C12" s="131">
        <f>'P &amp; L Statement'!C13/'Common size pl'!$C$3</f>
        <v>0.77089576095868828</v>
      </c>
      <c r="D12" s="131">
        <f>'P &amp; L Statement'!D13/'Common size pl'!$D$3</f>
        <v>0.88107273439221068</v>
      </c>
      <c r="E12" s="131">
        <f>'P &amp; L Statement'!E13/'Common size pl'!$E$3</f>
        <v>0.88342645602550207</v>
      </c>
      <c r="F12" s="131">
        <f>'P &amp; L Statement'!F13/'Common size pl'!$F$3</f>
        <v>0.88468238970990121</v>
      </c>
      <c r="G12" s="132">
        <f t="shared" si="0"/>
        <v>0.8430881138517099</v>
      </c>
      <c r="H12" s="132">
        <f t="shared" si="0"/>
        <v>0.85263309098760254</v>
      </c>
    </row>
    <row r="13" spans="1:12" ht="21" x14ac:dyDescent="0.35">
      <c r="A13" s="133" t="str">
        <v>PROFITABILITY</v>
      </c>
      <c r="B13" s="134"/>
      <c r="C13" s="134"/>
      <c r="D13" s="134"/>
      <c r="E13" s="134"/>
      <c r="F13" s="135"/>
      <c r="G13" s="136"/>
      <c r="H13" s="136"/>
    </row>
    <row r="14" spans="1:12" ht="21" x14ac:dyDescent="0.35">
      <c r="A14" s="130" t="str">
        <v>Operating Profit (EBITDA)</v>
      </c>
      <c r="B14" s="131">
        <f>'P &amp; L Statement'!B15/'Common size pl'!$B$3</f>
        <v>0.14525701475101199</v>
      </c>
      <c r="C14" s="131">
        <f>'P &amp; L Statement'!C15/'Common size pl'!$C$3</f>
        <v>0.26441789419106487</v>
      </c>
      <c r="D14" s="131">
        <f>'P &amp; L Statement'!D15/'Common size pl'!$D$3</f>
        <v>9.6441506358528634E-2</v>
      </c>
      <c r="E14" s="131">
        <f>'P &amp; L Statement'!E15/'Common size pl'!$E$3</f>
        <v>5.0744252823156623E-2</v>
      </c>
      <c r="F14" s="131">
        <f>'P &amp; L Statement'!F15/'Common size pl'!$F$3</f>
        <v>0.11866730184438719</v>
      </c>
      <c r="G14" s="131">
        <f>'P &amp; L Statement'!G15/'Common size pl'!$G$3</f>
        <v>0.1351055939936299</v>
      </c>
      <c r="H14" s="131">
        <f>'P &amp; L Statement'!H15/$H$3</f>
        <v>0.13307530984215341</v>
      </c>
    </row>
    <row r="15" spans="1:12" ht="21" x14ac:dyDescent="0.35">
      <c r="A15" s="130" t="str">
        <v>Less: Interest</v>
      </c>
      <c r="B15" s="131">
        <f>'P &amp; L Statement'!B16/'Common size pl'!$B$3</f>
        <v>4.8612195754786314E-2</v>
      </c>
      <c r="C15" s="131">
        <f>'P &amp; L Statement'!C16/'Common size pl'!$C$3</f>
        <v>2.2389812196852446E-2</v>
      </c>
      <c r="D15" s="131">
        <f>'P &amp; L Statement'!D16/'Common size pl'!$D$3</f>
        <v>2.5883009552925013E-2</v>
      </c>
      <c r="E15" s="131">
        <f>'P &amp; L Statement'!E16/'Common size pl'!$E$3</f>
        <v>3.2759717447398834E-2</v>
      </c>
      <c r="F15" s="131">
        <f>'P &amp; L Statement'!F16/'Common size pl'!$F$3</f>
        <v>3.3590490014963219E-2</v>
      </c>
      <c r="G15" s="131">
        <f>'P &amp; L Statement'!G16/'Common size pl'!$G$3</f>
        <v>3.089905966671443E-2</v>
      </c>
      <c r="H15" s="131">
        <f>'P &amp; L Statement'!H16/$H$3</f>
        <v>2.842327956102679E-2</v>
      </c>
      <c r="K15" s="137"/>
      <c r="L15" s="137"/>
    </row>
    <row r="16" spans="1:12" ht="21" x14ac:dyDescent="0.35">
      <c r="A16" s="130" t="str">
        <v>PBDT</v>
      </c>
      <c r="B16" s="131">
        <f>'P &amp; L Statement'!B17/'Common size pl'!$B$3</f>
        <v>9.6644818996225679E-2</v>
      </c>
      <c r="C16" s="131">
        <f>'P &amp; L Statement'!C17/'Common size pl'!$C$3</f>
        <v>0.24202808199421244</v>
      </c>
      <c r="D16" s="131">
        <f>'P &amp; L Statement'!D17/'Common size pl'!$D$3</f>
        <v>7.055849680560361E-2</v>
      </c>
      <c r="E16" s="131">
        <f>'P &amp; L Statement'!E17/'Common size pl'!$E$3</f>
        <v>1.7984535375757792E-2</v>
      </c>
      <c r="F16" s="131">
        <f>'P &amp; L Statement'!F17/'Common size pl'!$F$3</f>
        <v>8.5076811829423962E-2</v>
      </c>
      <c r="G16" s="131">
        <f>'P &amp; L Statement'!G17/'Common size pl'!$G$3</f>
        <v>0.10420653432691546</v>
      </c>
      <c r="H16" s="131">
        <f>'P &amp; L Statement'!H17/$H$3</f>
        <v>0.10465203028112662</v>
      </c>
    </row>
    <row r="17" spans="1:8" ht="21" x14ac:dyDescent="0.35">
      <c r="A17" s="130" t="str">
        <v>Less: Depreciation</v>
      </c>
      <c r="B17" s="131">
        <f>'P &amp; L Statement'!B18/'Common size pl'!$B$3</f>
        <v>5.9009416056248376E-2</v>
      </c>
      <c r="C17" s="131">
        <f>'P &amp; L Statement'!C18/'Common size pl'!$C$3</f>
        <v>3.7304889994501947E-2</v>
      </c>
      <c r="D17" s="131">
        <f>'P &amp; L Statement'!D18/'Common size pl'!$D$3</f>
        <v>3.8360784094887142E-2</v>
      </c>
      <c r="E17" s="131">
        <f>'P &amp; L Statement'!E18/'Common size pl'!$E$3</f>
        <v>4.3121378737725639E-2</v>
      </c>
      <c r="F17" s="131">
        <f>'P &amp; L Statement'!F18/'Common size pl'!$F$3</f>
        <v>4.768559672898421E-2</v>
      </c>
      <c r="G17" s="131">
        <f>AVERAGE(B17:F17)</f>
        <v>4.5096413122469467E-2</v>
      </c>
      <c r="H17" s="131">
        <f>AVERAGE(C17:G17)</f>
        <v>4.2313812535713681E-2</v>
      </c>
    </row>
    <row r="18" spans="1:8" ht="21" x14ac:dyDescent="0.35">
      <c r="A18" s="130" t="str">
        <v>Profit Before Tax (PBT)</v>
      </c>
      <c r="B18" s="131">
        <f>'P &amp; L Statement'!B19/'Common size pl'!$B$3</f>
        <v>3.7635402939977303E-2</v>
      </c>
      <c r="C18" s="131">
        <f>'P &amp; L Statement'!C19/'Common size pl'!$C$3</f>
        <v>0.20472319199971048</v>
      </c>
      <c r="D18" s="131">
        <f>'P &amp; L Statement'!D19/'Common size pl'!$D$3</f>
        <v>3.2197712710716468E-2</v>
      </c>
      <c r="E18" s="131">
        <f>'P &amp; L Statement'!E19/'Common size pl'!$E$3</f>
        <v>-2.5136843361967847E-2</v>
      </c>
      <c r="F18" s="131">
        <f>'P &amp; L Statement'!F19/'Common size pl'!$F$3</f>
        <v>3.7391215100439752E-2</v>
      </c>
      <c r="G18" s="132">
        <f>'P &amp; L Statement'!G19/'Common size pl'!$G$3</f>
        <v>5.9110121204445989E-2</v>
      </c>
      <c r="H18" s="132">
        <f>'P &amp; L Statement'!H19/'Common size pl'!$H$3</f>
        <v>6.2338217745412934E-2</v>
      </c>
    </row>
    <row r="19" spans="1:8" ht="21" x14ac:dyDescent="0.35">
      <c r="A19" s="130" t="str">
        <v>Tax (incl. Deferred Tax)</v>
      </c>
      <c r="B19" s="131">
        <f>'P &amp; L Statement'!B20/'Common size pl'!$B$3</f>
        <v>3.6132374387611244E-2</v>
      </c>
      <c r="C19" s="131">
        <f>'P &amp; L Statement'!C20/'Common size pl'!$C$3</f>
        <v>3.4749872283956366E-2</v>
      </c>
      <c r="D19" s="131">
        <f>'P &amp; L Statement'!D20/'Common size pl'!$D$3</f>
        <v>4.1749158392290632E-2</v>
      </c>
      <c r="E19" s="131">
        <f>'P &amp; L Statement'!E20/'Common size pl'!$E$3</f>
        <v>1.6418192581096072E-2</v>
      </c>
      <c r="F19" s="131">
        <f>'P &amp; L Statement'!F20/'Common size pl'!$F$3</f>
        <v>2.3972864592797072E-2</v>
      </c>
      <c r="G19" s="132">
        <f>'P &amp; L Statement'!G20/'Common size pl'!$G$3</f>
        <v>1.7733036361333797E-2</v>
      </c>
      <c r="H19" s="132">
        <f>'P &amp; L Statement'!H20/'Common size pl'!$H$3</f>
        <v>1.8701465323623882E-2</v>
      </c>
    </row>
    <row r="20" spans="1:8" ht="21" x14ac:dyDescent="0.35">
      <c r="A20" s="130" t="str">
        <v>PAT</v>
      </c>
      <c r="B20" s="131">
        <f>'P &amp; L Statement'!B21/'Common size pl'!$B$3</f>
        <v>1.5030285523660552E-3</v>
      </c>
      <c r="C20" s="131">
        <f>'P &amp; L Statement'!C21/'Common size pl'!$C$3</f>
        <v>0.16997331971575413</v>
      </c>
      <c r="D20" s="131">
        <f>'P &amp; L Statement'!D21/'Common size pl'!$D$3</f>
        <v>-9.5514456815741604E-3</v>
      </c>
      <c r="E20" s="131">
        <f>'P &amp; L Statement'!E21/'Common size pl'!$E$3</f>
        <v>-4.1555035943063916E-2</v>
      </c>
      <c r="F20" s="131">
        <f>'P &amp; L Statement'!F21/'Common size pl'!$F$3</f>
        <v>1.3418350507642677E-2</v>
      </c>
      <c r="G20" s="132">
        <f>'P &amp; L Statement'!G21/'Common size pl'!$G$3</f>
        <v>4.13770848431122E-2</v>
      </c>
      <c r="H20" s="132">
        <f>'P &amp; L Statement'!H21/'Common size pl'!$H$3</f>
        <v>4.3636752421789056E-2</v>
      </c>
    </row>
    <row r="21" spans="1:8" ht="21" x14ac:dyDescent="0.35">
      <c r="A21" s="130" t="str">
        <v>Less: Non-Controlling Interest</v>
      </c>
      <c r="B21" s="131">
        <f>'P &amp; L Statement'!B22/'Common size pl'!$B$3</f>
        <v>-4.4272783162296922E-2</v>
      </c>
      <c r="C21" s="131">
        <f>'P &amp; L Statement'!C22/'Common size pl'!$C$3</f>
        <v>8.0414275880672983E-3</v>
      </c>
      <c r="D21" s="131">
        <f>'P &amp; L Statement'!D22/'Common size pl'!$D$3</f>
        <v>-4.3832061194803311E-2</v>
      </c>
      <c r="E21" s="131">
        <f>'P &amp; L Statement'!E22/'Common size pl'!$E$3</f>
        <v>-2.2445008041601114E-2</v>
      </c>
      <c r="F21" s="131">
        <f>'P &amp; L Statement'!F22/'Common size pl'!$F$3</f>
        <v>-1.3600100044609171E-3</v>
      </c>
      <c r="G21" s="132">
        <f>AVERAGE(B21:F21)</f>
        <v>-2.077368696301899E-2</v>
      </c>
      <c r="H21" s="132">
        <f>AVERAGE(C21:G21)</f>
        <v>-1.6073867723163406E-2</v>
      </c>
    </row>
    <row r="22" spans="1:8" ht="21" x14ac:dyDescent="0.35">
      <c r="A22" s="130" t="str">
        <v>Reported Net Profit</v>
      </c>
      <c r="B22" s="131">
        <f>'P &amp; L Statement'!B23/'Common size pl'!$B$3</f>
        <v>4.5775811714662974E-2</v>
      </c>
      <c r="C22" s="131">
        <f>'P &amp; L Statement'!C23/'Common size pl'!$C$3</f>
        <v>0.16193189212768686</v>
      </c>
      <c r="D22" s="131">
        <f>'P &amp; L Statement'!D23/'Common size pl'!$D$3</f>
        <v>3.4280615513229147E-2</v>
      </c>
      <c r="E22" s="131">
        <f>'P &amp; L Statement'!E23/'Common size pl'!$E$3</f>
        <v>-1.9110027901462802E-2</v>
      </c>
      <c r="F22" s="131">
        <f>'P &amp; L Statement'!F23/'Common size pl'!$F$3</f>
        <v>1.4778360512103595E-2</v>
      </c>
      <c r="G22" s="132">
        <f>'P &amp; L Statement'!G23/'Common size pl'!$G$3</f>
        <v>6.215077180613119E-2</v>
      </c>
      <c r="H22" s="132">
        <f>'P &amp; L Statement'!H23/'Common size pl'!$H$3</f>
        <v>5.9710620144952466E-2</v>
      </c>
    </row>
    <row r="23" spans="1:8" ht="21" x14ac:dyDescent="0.35">
      <c r="A23" s="133" t="str">
        <v>PER SHARE DATA</v>
      </c>
      <c r="B23" s="134"/>
      <c r="C23" s="134"/>
      <c r="D23" s="134"/>
      <c r="E23" s="134"/>
      <c r="F23" s="135"/>
      <c r="G23" s="136"/>
      <c r="H23" s="136"/>
    </row>
    <row r="24" spans="1:8" ht="21" x14ac:dyDescent="0.35">
      <c r="A24" s="130" t="str">
        <v>Shares in Issue (Lakhs)</v>
      </c>
      <c r="B24" s="131">
        <f>'P &amp; L Statement'!B25/'Common size pl'!$B$3</f>
        <v>7.6876596875970593E-2</v>
      </c>
      <c r="C24" s="131">
        <f>'P &amp; L Statement'!C25/'Common size pl'!$C$3</f>
        <v>5.0056613981757682E-2</v>
      </c>
      <c r="D24" s="131">
        <f>'P &amp; L Statement'!D25/'Common size pl'!$D$3</f>
        <v>5.0173474556619857E-2</v>
      </c>
      <c r="E24" s="131">
        <f>'P &amp; L Statement'!E25/'Common size pl'!$E$3</f>
        <v>5.2821088273121028E-2</v>
      </c>
      <c r="F24" s="131">
        <f>'P &amp; L Statement'!F25/'Common size pl'!$F$3</f>
        <v>0.57068293029122796</v>
      </c>
      <c r="G24" s="132">
        <f t="shared" ref="G24:H27" si="1">AVERAGE(B24:F24)</f>
        <v>0.16012214079573944</v>
      </c>
      <c r="H24" s="132">
        <f t="shared" si="1"/>
        <v>0.1767712495796932</v>
      </c>
    </row>
    <row r="25" spans="1:8" ht="21" x14ac:dyDescent="0.35">
      <c r="A25" s="130" t="str">
        <v>Earnings Per Share (₹)</v>
      </c>
      <c r="B25" s="131">
        <f>'P &amp; L Statement'!B26/'Common size pl'!$B$3</f>
        <v>3.8053121060948729E-4</v>
      </c>
      <c r="C25" s="131">
        <f>'P &amp; L Statement'!C26/'Common size pl'!$C$3</f>
        <v>1.3260312970821335E-3</v>
      </c>
      <c r="D25" s="131">
        <f>'P &amp; L Statement'!D26/'Common size pl'!$D$3</f>
        <v>2.8076197097613118E-4</v>
      </c>
      <c r="E25" s="131">
        <f>'P &amp; L Statement'!E26/'Common size pl'!$E$3</f>
        <v>-1.5786822773522459E-4</v>
      </c>
      <c r="F25" s="131">
        <f>'P &amp; L Statement'!F26/'Common size pl'!$F$3</f>
        <v>1.1849375098304274E-5</v>
      </c>
      <c r="G25" s="132">
        <f t="shared" si="1"/>
        <v>3.6826112520616633E-4</v>
      </c>
      <c r="H25" s="132">
        <f t="shared" si="1"/>
        <v>3.658071081255021E-4</v>
      </c>
    </row>
    <row r="26" spans="1:8" ht="21" x14ac:dyDescent="0.35">
      <c r="A26" s="130" t="str">
        <v>Book Value Per Share (₹)</v>
      </c>
      <c r="B26" s="131">
        <f>'P &amp; L Statement'!B27/'Common size pl'!$B$3</f>
        <v>3.9026082999845343E-3</v>
      </c>
      <c r="C26" s="131">
        <f>'P &amp; L Statement'!C27/'Common size pl'!$C$3</f>
        <v>3.8414214968840888E-3</v>
      </c>
      <c r="D26" s="131">
        <f>'P &amp; L Statement'!D27/'Common size pl'!$D$3</f>
        <v>3.4694500397756034E-4</v>
      </c>
      <c r="E26" s="131">
        <f>'P &amp; L Statement'!E27/'Common size pl'!$E$3</f>
        <v>3.2198694789972791E-4</v>
      </c>
      <c r="F26" s="131">
        <f>'P &amp; L Statement'!F27/'Common size pl'!$F$3</f>
        <v>3.3448869970423598E-4</v>
      </c>
      <c r="G26" s="132">
        <f t="shared" si="1"/>
        <v>1.7494900896900295E-3</v>
      </c>
      <c r="H26" s="132">
        <f t="shared" si="1"/>
        <v>1.3188664476311285E-3</v>
      </c>
    </row>
    <row r="27" spans="1:8" ht="21" x14ac:dyDescent="0.35">
      <c r="A27" s="130" t="str">
        <v>Equity Dividend (₹ Cr)</v>
      </c>
      <c r="B27" s="131">
        <f>'P &amp; L Statement'!B28/'Common size pl'!$B$3</f>
        <v>7.3157529457928113E-3</v>
      </c>
      <c r="C27" s="131">
        <f>'P &amp; L Statement'!C28/'Common size pl'!$C$3</f>
        <v>1.2314191755940142E-2</v>
      </c>
      <c r="D27" s="131">
        <f>'P &amp; L Statement'!D28/'Common size pl'!$D$3</f>
        <v>2.5588991845539078E-2</v>
      </c>
      <c r="E27" s="131">
        <f>'P &amp; L Statement'!E28/'Common size pl'!$E$3</f>
        <v>1.9242374616868695E-2</v>
      </c>
      <c r="F27" s="131">
        <f>'P &amp; L Statement'!F28/'Common size pl'!$F$3</f>
        <v>2.0544607088112971E-2</v>
      </c>
      <c r="G27" s="132">
        <f t="shared" si="1"/>
        <v>1.7001183650450738E-2</v>
      </c>
      <c r="H27" s="132">
        <f t="shared" si="1"/>
        <v>1.8938269791382325E-2</v>
      </c>
    </row>
    <row r="28" spans="1:8" ht="21" x14ac:dyDescent="0.35">
      <c r="A28" s="133" t="str">
        <v>OTHER METRICS</v>
      </c>
      <c r="B28" s="134"/>
      <c r="C28" s="134"/>
      <c r="D28" s="134"/>
      <c r="E28" s="134"/>
      <c r="F28" s="135"/>
      <c r="G28" s="136"/>
      <c r="H28" s="136"/>
    </row>
    <row r="29" spans="1:8" ht="21" x14ac:dyDescent="0.35">
      <c r="A29" s="130" t="str">
        <v>Share of P/L of Associates</v>
      </c>
      <c r="B29" s="131">
        <f>'P &amp; L Statement'!B30/'Common size pl'!$B$3</f>
        <v>-2.0919314865916741E-3</v>
      </c>
      <c r="C29" s="131">
        <f>'P &amp; L Statement'!C30/'Common size pl'!$C$3</f>
        <v>-2.6609370740193939E-3</v>
      </c>
      <c r="D29" s="131">
        <f>'P &amp; L Statement'!D30/'Common size pl'!$D$3</f>
        <v>-1.7181646933921298E-3</v>
      </c>
      <c r="E29" s="131">
        <f>'P &amp; L Statement'!E30/'Common size pl'!$E$3</f>
        <v>2.5299909525987563E-4</v>
      </c>
      <c r="F29" s="131">
        <f>'P &amp; L Statement'!F30/'Common size pl'!$F$3</f>
        <v>-8.731024458353663E-4</v>
      </c>
      <c r="G29" s="132">
        <f t="shared" ref="G29:H31" si="2">AVERAGE(B29:F29)</f>
        <v>-1.4182273209157378E-3</v>
      </c>
      <c r="H29" s="132">
        <f t="shared" si="2"/>
        <v>-1.2834864877805505E-3</v>
      </c>
    </row>
    <row r="30" spans="1:8" ht="21" x14ac:dyDescent="0.35">
      <c r="A30" s="130" t="str">
        <v>Net P/L after MI &amp; Associates</v>
      </c>
      <c r="B30" s="131">
        <f>'P &amp; L Statement'!B31/'Common size pl'!$B$3</f>
        <v>5.9005006473778328E-2</v>
      </c>
      <c r="C30" s="131">
        <f>'P &amp; L Statement'!C31/'Common size pl'!$C$3</f>
        <v>0.17168192529922116</v>
      </c>
      <c r="D30" s="131">
        <f>'P &amp; L Statement'!D31/'Common size pl'!$D$3</f>
        <v>3.2718315133479725E-2</v>
      </c>
      <c r="E30" s="131">
        <f>'P &amp; L Statement'!E31/'Common size pl'!$E$3</f>
        <v>1.2673823425482079E-2</v>
      </c>
      <c r="F30" s="131">
        <f>'P &amp; L Statement'!F31/'Common size pl'!$F$3</f>
        <v>1.8433118572674944E-2</v>
      </c>
      <c r="G30" s="132">
        <f t="shared" si="2"/>
        <v>5.8902437780927241E-2</v>
      </c>
      <c r="H30" s="132">
        <f t="shared" si="2"/>
        <v>5.8881924042357023E-2</v>
      </c>
    </row>
    <row r="31" spans="1:8" ht="21" x14ac:dyDescent="0.35">
      <c r="A31" s="130" t="str">
        <v>Total Value Addition</v>
      </c>
      <c r="B31" s="131">
        <f>'P &amp; L Statement'!B32/'Common size pl'!$B$3</f>
        <v>0.3737744236547898</v>
      </c>
      <c r="C31" s="131">
        <f>'P &amp; L Statement'!C32/'Common size pl'!$C$3</f>
        <v>0.33215222038999392</v>
      </c>
      <c r="D31" s="131">
        <f>'P &amp; L Statement'!D32/'Common size pl'!$D$3</f>
        <v>0.31369758024865063</v>
      </c>
      <c r="E31" s="131">
        <f>'P &amp; L Statement'!E32/'Common size pl'!$E$3</f>
        <v>0.37617400438223408</v>
      </c>
      <c r="F31" s="131">
        <f>'P &amp; L Statement'!F32/'Common size pl'!$F$3</f>
        <v>0.39930231422710388</v>
      </c>
      <c r="G31" s="132">
        <f t="shared" si="2"/>
        <v>0.3590201085805545</v>
      </c>
      <c r="H31" s="132">
        <f t="shared" si="2"/>
        <v>0.3560692455657074</v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tabSelected="1" topLeftCell="A4" zoomScale="85" zoomScaleNormal="85" workbookViewId="0">
      <selection activeCell="B13" sqref="B13"/>
    </sheetView>
  </sheetViews>
  <sheetFormatPr defaultColWidth="8.7109375" defaultRowHeight="15" x14ac:dyDescent="0.25"/>
  <cols>
    <col min="1" max="1" width="6.140625" customWidth="1"/>
    <col min="2" max="2" width="40.5703125" customWidth="1"/>
    <col min="3" max="7" width="13.85546875" customWidth="1"/>
  </cols>
  <sheetData>
    <row r="1" spans="1:9" ht="29.25" customHeight="1" x14ac:dyDescent="0.25">
      <c r="A1" s="168" t="s">
        <v>102</v>
      </c>
      <c r="B1" s="168"/>
      <c r="C1" s="168"/>
      <c r="D1" s="168"/>
      <c r="E1" s="168"/>
      <c r="F1" s="168"/>
      <c r="G1" s="168"/>
      <c r="H1" s="168"/>
      <c r="I1" s="168"/>
    </row>
    <row r="2" spans="1:9" s="167" customFormat="1" ht="27.75" customHeight="1" x14ac:dyDescent="0.2">
      <c r="A2" s="163" t="s">
        <v>103</v>
      </c>
      <c r="B2" s="164" t="s">
        <v>1</v>
      </c>
      <c r="C2" s="165" t="s">
        <v>128</v>
      </c>
      <c r="D2" s="165" t="s">
        <v>129</v>
      </c>
      <c r="E2" s="165" t="s">
        <v>130</v>
      </c>
      <c r="F2" s="165" t="s">
        <v>131</v>
      </c>
      <c r="G2" s="165" t="s">
        <v>132</v>
      </c>
      <c r="H2" s="166" t="s">
        <v>133</v>
      </c>
      <c r="I2" s="166" t="s">
        <v>134</v>
      </c>
    </row>
    <row r="3" spans="1:9" x14ac:dyDescent="0.25">
      <c r="A3" s="138"/>
      <c r="B3" s="138" t="s">
        <v>104</v>
      </c>
      <c r="C3" s="138"/>
      <c r="D3" s="139"/>
      <c r="E3" s="139"/>
      <c r="F3" s="139"/>
      <c r="G3" s="140"/>
      <c r="H3" s="140"/>
      <c r="I3" s="140"/>
    </row>
    <row r="4" spans="1:9" x14ac:dyDescent="0.25">
      <c r="A4" s="141">
        <v>1</v>
      </c>
      <c r="B4" s="141" t="s">
        <v>105</v>
      </c>
      <c r="C4" s="142">
        <f>'Balance Sheet'!B41/'Balance Sheet'!B20</f>
        <v>0.84964496234008613</v>
      </c>
      <c r="D4" s="142">
        <f>'Balance Sheet'!C41/'Balance Sheet'!C20</f>
        <v>1.0217314655362737</v>
      </c>
      <c r="E4" s="142">
        <f>'Balance Sheet'!D41/'Balance Sheet'!D20</f>
        <v>0.89074900254514267</v>
      </c>
      <c r="F4" s="142">
        <f>'Balance Sheet'!E41/'Balance Sheet'!E20</f>
        <v>0.71692830375511107</v>
      </c>
      <c r="G4" s="143">
        <f>'Balance Sheet'!F41/'Balance Sheet'!F20</f>
        <v>0.79438633904630496</v>
      </c>
      <c r="H4" s="143">
        <f>'Balance Sheet'!G41/'Balance Sheet'!G20</f>
        <v>0.75443665157570472</v>
      </c>
      <c r="I4" s="143">
        <f>'Balance Sheet'!H41/'Balance Sheet'!H20</f>
        <v>0.14363990863336337</v>
      </c>
    </row>
    <row r="5" spans="1:9" x14ac:dyDescent="0.25">
      <c r="A5" s="141">
        <v>2</v>
      </c>
      <c r="B5" s="141" t="s">
        <v>106</v>
      </c>
      <c r="C5" s="144">
        <f>('Balance Sheet'!B38+'Balance Sheet'!B37+'Balance Sheet'!B35)/'Balance Sheet'!B20</f>
        <v>0.3180728498529572</v>
      </c>
      <c r="D5" s="144">
        <f>('Balance Sheet'!C38+'Balance Sheet'!C37+'Balance Sheet'!C35)/'Balance Sheet'!C20</f>
        <v>0.4047973241488938</v>
      </c>
      <c r="E5" s="144">
        <f>('Balance Sheet'!D38+'Balance Sheet'!D37+'Balance Sheet'!D35)/'Balance Sheet'!D20</f>
        <v>0.25946375733297239</v>
      </c>
      <c r="F5" s="144">
        <f>('Balance Sheet'!E38+'Balance Sheet'!E37+'Balance Sheet'!E35)/'Balance Sheet'!E20</f>
        <v>0.15926743647684002</v>
      </c>
      <c r="G5" s="145">
        <f>('Balance Sheet'!F38+'Balance Sheet'!F37+'Balance Sheet'!F35)/'Balance Sheet'!F20</f>
        <v>0.20152136832550174</v>
      </c>
      <c r="H5" s="145">
        <f>('Balance Sheet'!G38+'Balance Sheet'!G37+'Balance Sheet'!G35)/'Balance Sheet'!G20</f>
        <v>0.15279222348020427</v>
      </c>
      <c r="I5" s="145">
        <f>('Balance Sheet'!H38+'Balance Sheet'!H37+'Balance Sheet'!H35)/'Balance Sheet'!H20</f>
        <v>-0.46645044658625101</v>
      </c>
    </row>
    <row r="6" spans="1:9" x14ac:dyDescent="0.25">
      <c r="A6" s="141">
        <v>3</v>
      </c>
      <c r="B6" s="141" t="s">
        <v>107</v>
      </c>
      <c r="C6" s="144">
        <f>('Balance Sheet'!B38+'Balance Sheet'!B35)/'Balance Sheet'!B20</f>
        <v>0.183456984923758</v>
      </c>
      <c r="D6" s="144">
        <f>('Balance Sheet'!C38+'Balance Sheet'!C35)/'Balance Sheet'!C20</f>
        <v>0.26960910937430999</v>
      </c>
      <c r="E6" s="144">
        <f>('Balance Sheet'!D38+'Balance Sheet'!D35)/'Balance Sheet'!D20</f>
        <v>0.17459578912120266</v>
      </c>
      <c r="F6" s="144">
        <f>('Balance Sheet'!E38+'Balance Sheet'!E35)/'Balance Sheet'!E20</f>
        <v>9.5615927404193404E-2</v>
      </c>
      <c r="G6" s="145">
        <f>('Balance Sheet'!F38+'Balance Sheet'!F35)/'Balance Sheet'!F20</f>
        <v>0.14042434073168081</v>
      </c>
      <c r="H6" s="145">
        <f>('Balance Sheet'!G38+'Balance Sheet'!G35)/'Balance Sheet'!G20</f>
        <v>9.0318777414392204E-2</v>
      </c>
      <c r="I6" s="145">
        <f>('Balance Sheet'!H38+'Balance Sheet'!H35)/'Balance Sheet'!H20</f>
        <v>-0.53025127790985083</v>
      </c>
    </row>
    <row r="7" spans="1:9" x14ac:dyDescent="0.25">
      <c r="A7" s="141">
        <v>4</v>
      </c>
      <c r="B7" s="141" t="s">
        <v>108</v>
      </c>
      <c r="C7" s="144">
        <f>('Balance Sheet'!B38+'Balance Sheet'!B37+'Balance Sheet'!B35)/(('P &amp; L Statement'!B13-'P &amp; L Statement'!B18)/365)</f>
        <v>71.404593086798059</v>
      </c>
      <c r="D7" s="144">
        <f>('Balance Sheet'!C38+'Balance Sheet'!C37+'Balance Sheet'!C35)/(('P &amp; L Statement'!C13-'P &amp; L Statement'!C18)/365)</f>
        <v>74.787687307694156</v>
      </c>
      <c r="E7" s="144">
        <f>('Balance Sheet'!D38+'Balance Sheet'!D37+'Balance Sheet'!D35)/(('P &amp; L Statement'!D13-'P &amp; L Statement'!D18)/365)</f>
        <v>44.930925682168322</v>
      </c>
      <c r="F7" s="144">
        <f>('Balance Sheet'!E38+'Balance Sheet'!E37+'Balance Sheet'!E35)/(('P &amp; L Statement'!E13-'P &amp; L Statement'!E18)/365)</f>
        <v>29.705309462050746</v>
      </c>
      <c r="G7" s="145">
        <f>('Balance Sheet'!F38+'Balance Sheet'!F37+'Balance Sheet'!F35)/(('P &amp; L Statement'!F13-'P &amp; L Statement'!F18)/365)</f>
        <v>34.619824591576908</v>
      </c>
      <c r="H7" s="145">
        <f>('Balance Sheet'!G38+'Balance Sheet'!G37+'Balance Sheet'!G35)/(('P &amp; L Statement'!G13-'P &amp; L Statement'!G18)/365)</f>
        <v>26.924958934644867</v>
      </c>
      <c r="I7" s="145">
        <f>('Balance Sheet'!H38+'Balance Sheet'!H37+'Balance Sheet'!H35)/(('P &amp; L Statement'!H13-'P &amp; L Statement'!H18)/365)</f>
        <v>-79.263024493931425</v>
      </c>
    </row>
    <row r="8" spans="1:9" x14ac:dyDescent="0.25">
      <c r="A8" s="141">
        <v>5</v>
      </c>
      <c r="B8" s="141" t="s">
        <v>109</v>
      </c>
      <c r="C8" s="144">
        <f>(AVERAGE('Balance Sheet'!A36,'Balance Sheet'!B36)/('P &amp; L Statement'!B13/365))+(AVERAGE('Balance Sheet'!A37,'Balance Sheet'!B37)/('P &amp; L Statement'!B4/365))-(AVERAGE('Balance Sheet'!A17,'Balance Sheet'!B17)/('P &amp; L Statement'!B13/365))</f>
        <v>43.687861839502915</v>
      </c>
      <c r="D8" s="144">
        <f>(AVERAGE('Balance Sheet'!B36,'Balance Sheet'!C36)/('P &amp; L Statement'!C13/365))+(AVERAGE('Balance Sheet'!B37,'Balance Sheet'!C37)/('P &amp; L Statement'!C4/365))-(AVERAGE('Balance Sheet'!B17,'Balance Sheet'!C17)/('P &amp; L Statement'!C13/365))</f>
        <v>35.092859453472215</v>
      </c>
      <c r="E8" s="144">
        <f>(AVERAGE('Balance Sheet'!C36,'Balance Sheet'!D36)/('P &amp; L Statement'!D13/365))+(AVERAGE('Balance Sheet'!C37,'Balance Sheet'!D37)/('P &amp; L Statement'!D4/365))-(AVERAGE('Balance Sheet'!C17,'Balance Sheet'!D17)/('P &amp; L Statement'!D13/365))</f>
        <v>39.75592840640455</v>
      </c>
      <c r="F8" s="144">
        <f>(AVERAGE('Balance Sheet'!D36,'Balance Sheet'!E36)/('P &amp; L Statement'!E13/365))+(AVERAGE('Balance Sheet'!D37,'Balance Sheet'!E37)/('P &amp; L Statement'!E4/365))-(AVERAGE('Balance Sheet'!D17,'Balance Sheet'!E17)/('P &amp; L Statement'!E13/365))</f>
        <v>38.882095289393718</v>
      </c>
      <c r="G8" s="145">
        <f>(AVERAGE('Balance Sheet'!E36,'Balance Sheet'!F36)/('P &amp; L Statement'!F13/365))+(AVERAGE('Balance Sheet'!E37,'Balance Sheet'!F37)/('P &amp; L Statement'!F4/365))-(AVERAGE('Balance Sheet'!E17,'Balance Sheet'!F17)/('P &amp; L Statement'!F13/365))</f>
        <v>36.995548960747968</v>
      </c>
      <c r="H8" s="145">
        <f>(AVERAGE('Balance Sheet'!F36,'Balance Sheet'!G36)/('P &amp; L Statement'!G13/365))+(AVERAGE('Balance Sheet'!F37,'Balance Sheet'!G37)/('P &amp; L Statement'!G4/365))-(AVERAGE('Balance Sheet'!F17,'Balance Sheet'!G17)/('P &amp; L Statement'!G13/365))</f>
        <v>37.48169332310399</v>
      </c>
      <c r="I8" s="145">
        <f>(AVERAGE('Balance Sheet'!G36,'Balance Sheet'!H36)/('P &amp; L Statement'!H13/365))+(AVERAGE('Balance Sheet'!G37,'Balance Sheet'!H37)/('P &amp; L Statement'!H4/365))-(AVERAGE('Balance Sheet'!G17,'Balance Sheet'!H17)/('P &amp; L Statement'!H13/365))</f>
        <v>37.156503586976555</v>
      </c>
    </row>
    <row r="9" spans="1:9" x14ac:dyDescent="0.25">
      <c r="A9" s="138"/>
      <c r="B9" s="138" t="s">
        <v>110</v>
      </c>
      <c r="C9" s="146"/>
      <c r="D9" s="147"/>
      <c r="E9" s="147"/>
      <c r="F9" s="147"/>
      <c r="G9" s="148"/>
      <c r="H9" s="148"/>
      <c r="I9" s="148"/>
    </row>
    <row r="10" spans="1:9" x14ac:dyDescent="0.25">
      <c r="A10" s="141">
        <v>6</v>
      </c>
      <c r="B10" s="141" t="s">
        <v>111</v>
      </c>
      <c r="C10" s="142">
        <f>('Balance Sheet'!B10+'Balance Sheet'!B16)/'Balance Sheet'!B7</f>
        <v>1.0981076910029526</v>
      </c>
      <c r="D10" s="142">
        <f>('Balance Sheet'!C10+'Balance Sheet'!C16)/'Balance Sheet'!C7</f>
        <v>0.60142303105544892</v>
      </c>
      <c r="E10" s="142">
        <f>('Balance Sheet'!D10+'Balance Sheet'!D16)/'Balance Sheet'!D7</f>
        <v>0.75685012237818194</v>
      </c>
      <c r="F10" s="142">
        <f>('Balance Sheet'!E10+'Balance Sheet'!E16)/'Balance Sheet'!E7</f>
        <v>0.88632853143169554</v>
      </c>
      <c r="G10" s="162">
        <f>('Balance Sheet'!F10+'Balance Sheet'!F16)/'Balance Sheet'!F7</f>
        <v>0.97580532025851141</v>
      </c>
      <c r="H10" s="162">
        <f>('Balance Sheet'!G10+'Balance Sheet'!G16)/'Balance Sheet'!G7</f>
        <v>0.87308272161707656</v>
      </c>
      <c r="I10" s="162">
        <f>('Balance Sheet'!H10+'Balance Sheet'!H16)/'Balance Sheet'!H7</f>
        <v>0.79130589601900581</v>
      </c>
    </row>
    <row r="11" spans="1:9" x14ac:dyDescent="0.25">
      <c r="A11" s="141">
        <v>7</v>
      </c>
      <c r="B11" s="141" t="s">
        <v>112</v>
      </c>
      <c r="C11" s="144">
        <f>'Balance Sheet'!B42/'Balance Sheet'!B7</f>
        <v>3.3311797347100094</v>
      </c>
      <c r="D11" s="144">
        <f>'Balance Sheet'!C42/'Balance Sheet'!C7</f>
        <v>2.4942154629936426</v>
      </c>
      <c r="E11" s="144">
        <f>'Balance Sheet'!D42/'Balance Sheet'!D7</f>
        <v>2.7941004306276249</v>
      </c>
      <c r="F11" s="144">
        <f>'Balance Sheet'!E42/'Balance Sheet'!E7</f>
        <v>2.9708398126988897</v>
      </c>
      <c r="G11" s="145">
        <f>'Balance Sheet'!F42/'Balance Sheet'!F7</f>
        <v>3.0645599856004684</v>
      </c>
      <c r="H11" s="145">
        <f>'Balance Sheet'!G42/'Balance Sheet'!G7</f>
        <v>2.9210314357767331</v>
      </c>
      <c r="I11" s="145">
        <f>'Balance Sheet'!H42/'Balance Sheet'!H7</f>
        <v>2.8130518977211381</v>
      </c>
    </row>
    <row r="12" spans="1:9" x14ac:dyDescent="0.25">
      <c r="A12" s="141">
        <v>8</v>
      </c>
      <c r="B12" s="141" t="s">
        <v>135</v>
      </c>
      <c r="C12" s="144">
        <f>('P &amp; L Statement'!B15-'P &amp; L Statement'!B18)/'P &amp; L Statement'!B16</f>
        <v>1.7741967289406331</v>
      </c>
      <c r="D12" s="144">
        <f>('P &amp; L Statement'!C15-'P &amp; L Statement'!C18)/'P &amp; L Statement'!C16</f>
        <v>10.143586833144157</v>
      </c>
      <c r="E12" s="144">
        <f>('P &amp; L Statement'!D15-'P &amp; L Statement'!D18)/'P &amp; L Statement'!D16</f>
        <v>2.2439709781383534</v>
      </c>
      <c r="F12" s="144">
        <f>('P &amp; L Statement'!E15-'P &amp; L Statement'!E18)/'P &amp; L Statement'!E16</f>
        <v>0.23269047108451948</v>
      </c>
      <c r="G12" s="145">
        <f>('P &amp; L Statement'!F15-'P &amp; L Statement'!F18)/'P &amp; L Statement'!F16</f>
        <v>2.1131488431333829</v>
      </c>
      <c r="H12" s="145">
        <f>('P &amp; L Statement'!G15-'P &amp; L Statement'!G18)/'P &amp; L Statement'!G16</f>
        <v>2.913007121964994</v>
      </c>
      <c r="I12" s="145">
        <f>('P &amp; L Statement'!H15-'P &amp; L Statement'!H18)/'P &amp; L Statement'!H16</f>
        <v>3.1932098866905338</v>
      </c>
    </row>
    <row r="13" spans="1:9" x14ac:dyDescent="0.25">
      <c r="A13" s="138"/>
      <c r="B13" s="138" t="s">
        <v>113</v>
      </c>
      <c r="C13" s="146"/>
      <c r="D13" s="147"/>
      <c r="E13" s="147"/>
      <c r="F13" s="147"/>
      <c r="G13" s="148"/>
      <c r="H13" s="148"/>
      <c r="I13" s="148"/>
    </row>
    <row r="14" spans="1:9" x14ac:dyDescent="0.25">
      <c r="A14" s="141">
        <v>9</v>
      </c>
      <c r="B14" s="141" t="s">
        <v>114</v>
      </c>
      <c r="C14" s="142">
        <f>('P &amp; L Statement'!B4)/('Balance Sheet'!B37)</f>
        <v>16.402518281229035</v>
      </c>
      <c r="D14" s="142">
        <f>('P &amp; L Statement'!C4)/('Balance Sheet'!B37+'Balance Sheet'!C37/2)</f>
        <v>15.575452553796179</v>
      </c>
      <c r="E14" s="142">
        <f>('P &amp; L Statement'!D4)/('Balance Sheet'!C37+'Balance Sheet'!D37/2)</f>
        <v>14.861187599427177</v>
      </c>
      <c r="F14" s="142">
        <f>('P &amp; L Statement'!E4)/('Balance Sheet'!D37+'Balance Sheet'!E37/2)</f>
        <v>20.122107242906647</v>
      </c>
      <c r="G14" s="143">
        <f>('P &amp; L Statement'!F4)/('Balance Sheet'!E37+'Balance Sheet'!F37/2)</f>
        <v>24.573119200859949</v>
      </c>
      <c r="H14" s="143">
        <f>('P &amp; L Statement'!G4)/('Balance Sheet'!F37+'Balance Sheet'!G37/2)</f>
        <v>29.26139632063029</v>
      </c>
      <c r="I14" s="143">
        <f>('P &amp; L Statement'!H4)/('Balance Sheet'!G37+'Balance Sheet'!H37/2)</f>
        <v>29.261396320630286</v>
      </c>
    </row>
    <row r="15" spans="1:9" x14ac:dyDescent="0.25">
      <c r="A15" s="141">
        <v>10</v>
      </c>
      <c r="B15" s="141" t="s">
        <v>115</v>
      </c>
      <c r="C15" s="144">
        <f>365/C14</f>
        <v>22.252680578792848</v>
      </c>
      <c r="D15" s="144">
        <f>365/D14</f>
        <v>23.434311057051062</v>
      </c>
      <c r="E15" s="144">
        <f>365/E14</f>
        <v>24.560621253046349</v>
      </c>
      <c r="F15" s="144">
        <f>365/F14</f>
        <v>18.139253289620953</v>
      </c>
      <c r="G15" s="145">
        <f>365/G14</f>
        <v>14.853629163497756</v>
      </c>
      <c r="H15" s="145">
        <f t="shared" ref="H15:I15" si="0">365/H14</f>
        <v>12.473772474851533</v>
      </c>
      <c r="I15" s="145">
        <f t="shared" si="0"/>
        <v>12.473772474851533</v>
      </c>
    </row>
    <row r="16" spans="1:9" x14ac:dyDescent="0.25">
      <c r="A16" s="141">
        <v>11</v>
      </c>
      <c r="B16" s="141" t="s">
        <v>116</v>
      </c>
      <c r="C16" s="144">
        <f>'P &amp; L Statement'!B13/'Balance Sheet'!B37</f>
        <v>13.045959890312625</v>
      </c>
      <c r="D16" s="144">
        <f>'P &amp; L Statement'!C13/('Balance Sheet'!B36+'Balance Sheet'!C37/2)</f>
        <v>4.773325461848021</v>
      </c>
      <c r="E16" s="144">
        <f>'P &amp; L Statement'!D13/('Balance Sheet'!C36+'Balance Sheet'!D37/2)</f>
        <v>4.0490884276455672</v>
      </c>
      <c r="F16" s="144">
        <f>'P &amp; L Statement'!E13/('Balance Sheet'!D36+'Balance Sheet'!E37/2)</f>
        <v>3.5180842751489019</v>
      </c>
      <c r="G16" s="145">
        <f>'P &amp; L Statement'!F13/('Balance Sheet'!E36+'Balance Sheet'!F37/2)</f>
        <v>3.7333441596183174</v>
      </c>
      <c r="H16" s="145">
        <f>'P &amp; L Statement'!G13/('Balance Sheet'!F36+'Balance Sheet'!G37/2)</f>
        <v>4.2213600217320533</v>
      </c>
      <c r="I16" s="145">
        <f>'P &amp; L Statement'!H13/('Balance Sheet'!G36+'Balance Sheet'!H37/2)</f>
        <v>4.2691519241771285</v>
      </c>
    </row>
    <row r="17" spans="1:9" x14ac:dyDescent="0.25">
      <c r="A17" s="141">
        <v>12</v>
      </c>
      <c r="B17" s="141" t="s">
        <v>117</v>
      </c>
      <c r="C17" s="144">
        <f>365/C16</f>
        <v>27.978010285853589</v>
      </c>
      <c r="D17" s="144">
        <f>365/D16</f>
        <v>76.466606544504955</v>
      </c>
      <c r="E17" s="144">
        <f>365/E16</f>
        <v>90.143746307915876</v>
      </c>
      <c r="F17" s="144">
        <f>365/F16</f>
        <v>103.74964652731393</v>
      </c>
      <c r="G17" s="145">
        <f>365/G16</f>
        <v>97.767573626889032</v>
      </c>
      <c r="H17" s="145">
        <f t="shared" ref="H17:I17" si="1">365/H16</f>
        <v>86.465025044283706</v>
      </c>
      <c r="I17" s="145">
        <f t="shared" si="1"/>
        <v>85.497074473486464</v>
      </c>
    </row>
    <row r="18" spans="1:9" x14ac:dyDescent="0.25">
      <c r="A18" s="141">
        <v>13</v>
      </c>
      <c r="B18" s="141" t="s">
        <v>118</v>
      </c>
      <c r="C18" s="144">
        <f>'P &amp; L Statement'!B4/'Balance Sheet'!B28</f>
        <v>1.0401462025291635</v>
      </c>
      <c r="D18" s="144">
        <f>'P &amp; L Statement'!B4/('Balance Sheet'!B28+'Balance Sheet'!C28/2)</f>
        <v>0.69253421723789155</v>
      </c>
      <c r="E18" s="144">
        <f>'P &amp; L Statement'!C4/('Balance Sheet'!C28+'Balance Sheet'!D28/2)</f>
        <v>1.0287619777792816</v>
      </c>
      <c r="F18" s="144">
        <f>'P &amp; L Statement'!D4/('Balance Sheet'!D28+'Balance Sheet'!E28/2)</f>
        <v>0.93258182414475754</v>
      </c>
      <c r="G18" s="145">
        <f>'P &amp; L Statement'!E4/('Balance Sheet'!E28+'Balance Sheet'!F28/2)</f>
        <v>0.84654344047425778</v>
      </c>
      <c r="H18" s="145">
        <f>'P &amp; L Statement'!F4/('Balance Sheet'!F28+'Balance Sheet'!G28/2)</f>
        <v>0.758895027301003</v>
      </c>
      <c r="I18" s="145">
        <f>'P &amp; L Statement'!G4/('Balance Sheet'!G28+'Balance Sheet'!H28/2)</f>
        <v>0.69805514520252454</v>
      </c>
    </row>
    <row r="19" spans="1:9" x14ac:dyDescent="0.25">
      <c r="A19" s="141">
        <v>14</v>
      </c>
      <c r="B19" s="141" t="s">
        <v>119</v>
      </c>
      <c r="C19" s="144">
        <f>'P &amp; L Statement'!B13/'Balance Sheet'!B17</f>
        <v>4.7927762752580243</v>
      </c>
      <c r="D19" s="144">
        <f>'P &amp; L Statement'!C13/('Balance Sheet'!B17+'Balance Sheet'!C17/2)</f>
        <v>4.2405278024709174</v>
      </c>
      <c r="E19" s="144">
        <f>'P &amp; L Statement'!D13/('Balance Sheet'!C17+'Balance Sheet'!D17/2)</f>
        <v>3.8507009734355293</v>
      </c>
      <c r="F19" s="144">
        <f>'P &amp; L Statement'!E13/('Balance Sheet'!D17+'Balance Sheet'!E17/2)</f>
        <v>3.644572525552265</v>
      </c>
      <c r="G19" s="145">
        <f>'P &amp; L Statement'!F13/('Balance Sheet'!E17+'Balance Sheet'!F17/2)</f>
        <v>3.8597238872191779</v>
      </c>
      <c r="H19" s="145">
        <f>'P &amp; L Statement'!G13/('Balance Sheet'!F17+'Balance Sheet'!G17/2)</f>
        <v>4.4266786666389297</v>
      </c>
      <c r="I19" s="145">
        <f>'P &amp; L Statement'!H13/('Balance Sheet'!G17+'Balance Sheet'!H17/2)</f>
        <v>4.4767950731767669</v>
      </c>
    </row>
    <row r="20" spans="1:9" x14ac:dyDescent="0.25">
      <c r="A20" s="141">
        <v>15</v>
      </c>
      <c r="B20" s="141" t="s">
        <v>120</v>
      </c>
      <c r="C20" s="144">
        <f>365/C19</f>
        <v>76.156277497085924</v>
      </c>
      <c r="D20" s="144">
        <f>365/D19</f>
        <v>86.07419099747861</v>
      </c>
      <c r="E20" s="144">
        <f>365/E19</f>
        <v>94.787936668671847</v>
      </c>
      <c r="F20" s="144">
        <f>365/F19</f>
        <v>100.14891937009574</v>
      </c>
      <c r="G20" s="145">
        <f>365/G19</f>
        <v>94.566349994266602</v>
      </c>
      <c r="H20" s="145">
        <f t="shared" ref="H20:I20" si="2">365/H19</f>
        <v>82.454595756130558</v>
      </c>
      <c r="I20" s="145">
        <f t="shared" si="2"/>
        <v>81.531540763824438</v>
      </c>
    </row>
    <row r="21" spans="1:9" x14ac:dyDescent="0.25">
      <c r="A21" s="138"/>
      <c r="B21" s="138" t="s">
        <v>121</v>
      </c>
      <c r="C21" s="146"/>
      <c r="D21" s="147"/>
      <c r="E21" s="147"/>
      <c r="F21" s="147"/>
      <c r="G21" s="148"/>
      <c r="H21" s="148"/>
      <c r="I21" s="148"/>
    </row>
    <row r="22" spans="1:9" x14ac:dyDescent="0.25">
      <c r="A22" s="141">
        <v>16</v>
      </c>
      <c r="B22" s="141" t="s">
        <v>122</v>
      </c>
      <c r="C22" s="149">
        <f>'P &amp; L Statement'!B21/'P &amp; L Statement'!B4</f>
        <v>1.5030285523660552E-3</v>
      </c>
      <c r="D22" s="149">
        <f>'P &amp; L Statement'!C21/'P &amp; L Statement'!C4</f>
        <v>0.16997331971575413</v>
      </c>
      <c r="E22" s="149">
        <f>'P &amp; L Statement'!D21/'P &amp; L Statement'!D4</f>
        <v>-9.5514456815741604E-3</v>
      </c>
      <c r="F22" s="149">
        <f>'P &amp; L Statement'!E21/'P &amp; L Statement'!E4</f>
        <v>-4.1555035943063916E-2</v>
      </c>
      <c r="G22" s="150">
        <f>'P &amp; L Statement'!F21/'P &amp; L Statement'!F4</f>
        <v>1.3418350507642677E-2</v>
      </c>
      <c r="H22" s="150">
        <f>'P &amp; L Statement'!G21/'P &amp; L Statement'!G4</f>
        <v>4.13770848431122E-2</v>
      </c>
      <c r="I22" s="150">
        <f>'P &amp; L Statement'!H21/'P &amp; L Statement'!H4</f>
        <v>4.3636752421789056E-2</v>
      </c>
    </row>
    <row r="23" spans="1:9" x14ac:dyDescent="0.25">
      <c r="A23" s="141">
        <v>17</v>
      </c>
      <c r="B23" s="141" t="s">
        <v>123</v>
      </c>
      <c r="C23" s="151">
        <f>('P &amp; L Statement'!B15-'P &amp; L Statement'!B18)/'P &amp; L Statement'!B4</f>
        <v>8.6247598694763616E-2</v>
      </c>
      <c r="D23" s="151">
        <f>('P &amp; L Statement'!C15-'P &amp; L Statement'!C18)/'P &amp; L Statement'!C4</f>
        <v>0.22711300419656291</v>
      </c>
      <c r="E23" s="151">
        <f>('P &amp; L Statement'!D15-'P &amp; L Statement'!D18)/'P &amp; L Statement'!D4</f>
        <v>5.8080722263641492E-2</v>
      </c>
      <c r="F23" s="151">
        <f>('P &amp; L Statement'!E15-'P &amp; L Statement'!E18)/'P &amp; L Statement'!E4</f>
        <v>7.6228740854309869E-3</v>
      </c>
      <c r="G23" s="152">
        <f>('P &amp; L Statement'!F15-'P &amp; L Statement'!F18)/'P &amp; L Statement'!F4</f>
        <v>7.0981705115402971E-2</v>
      </c>
      <c r="H23" s="152">
        <f>('P &amp; L Statement'!G15-'P &amp; L Statement'!G18)/'P &amp; L Statement'!G4</f>
        <v>9.000918087116043E-2</v>
      </c>
      <c r="I23" s="152">
        <f>('P &amp; L Statement'!H15-'P &amp; L Statement'!H18)/'P &amp; L Statement'!H4</f>
        <v>9.0761497306439731E-2</v>
      </c>
    </row>
    <row r="24" spans="1:9" x14ac:dyDescent="0.25">
      <c r="A24" s="141">
        <v>18</v>
      </c>
      <c r="B24" s="141" t="s">
        <v>124</v>
      </c>
      <c r="C24" s="151">
        <f>'P &amp; L Statement'!B21/'Balance Sheet'!B42</f>
        <v>9.6110297467073033E-4</v>
      </c>
      <c r="D24" s="151">
        <f>'P &amp; L Statement'!C21/('Balance Sheet'!B42+'Balance Sheet'!C42/2)</f>
        <v>0.10702944623230301</v>
      </c>
      <c r="E24" s="151">
        <f>'P &amp; L Statement'!D21/('Balance Sheet'!C42+'Balance Sheet'!D42/2)</f>
        <v>-5.4123529679270064E-3</v>
      </c>
      <c r="F24" s="151">
        <f>'P &amp; L Statement'!E21/('Balance Sheet'!D42+'Balance Sheet'!E42/2)</f>
        <v>-2.242158959492456E-2</v>
      </c>
      <c r="G24" s="152">
        <f>'P &amp; L Statement'!F21/('Balance Sheet'!E42+'Balance Sheet'!F42/2)</f>
        <v>7.0983578899058482E-3</v>
      </c>
      <c r="H24" s="152">
        <f>'P &amp; L Statement'!G21/('Balance Sheet'!F42+'Balance Sheet'!G42/2)</f>
        <v>2.2956422359184856E-2</v>
      </c>
      <c r="I24" s="152">
        <f>'P &amp; L Statement'!H21/('Balance Sheet'!G42+'Balance Sheet'!H42/2)</f>
        <v>2.4727602557090375E-2</v>
      </c>
    </row>
    <row r="25" spans="1:9" x14ac:dyDescent="0.25">
      <c r="A25" s="141">
        <v>19</v>
      </c>
      <c r="B25" s="141" t="s">
        <v>125</v>
      </c>
      <c r="C25" s="151">
        <f>'P &amp; L Statement'!B23/'Balance Sheet'!B7/2</f>
        <v>4.8753614042147321E-2</v>
      </c>
      <c r="D25" s="151">
        <f>'P &amp; L Statement'!C23/('Balance Sheet'!B7+'Balance Sheet'!C7/2)</f>
        <v>0.30229808333252361</v>
      </c>
      <c r="E25" s="151">
        <f>'P &amp; L Statement'!D23/('Balance Sheet'!C7+'Balance Sheet'!D7/2)</f>
        <v>5.0259515836728948E-2</v>
      </c>
      <c r="F25" s="151">
        <f>'P &amp; L Statement'!E23/('Balance Sheet'!D7+'Balance Sheet'!E7/2)</f>
        <v>-2.9372639754881209E-2</v>
      </c>
      <c r="G25" s="152">
        <f>'P &amp; L Statement'!F23/('Balance Sheet'!E7+'Balance Sheet'!F7/2)</f>
        <v>2.3468147840539143E-2</v>
      </c>
      <c r="H25" s="152">
        <f>'P &amp; L Statement'!G23/('Balance Sheet'!F7+'Balance Sheet'!G7/2)</f>
        <v>0.10389754125778795</v>
      </c>
      <c r="I25" s="152">
        <f>'P &amp; L Statement'!H23/('Balance Sheet'!G7+'Balance Sheet'!H7/2)</f>
        <v>9.7537526556696855E-2</v>
      </c>
    </row>
    <row r="26" spans="1:9" x14ac:dyDescent="0.25">
      <c r="A26" s="153">
        <v>20</v>
      </c>
      <c r="B26" s="153" t="s">
        <v>126</v>
      </c>
      <c r="C26" s="154">
        <f>('P &amp; L Statement'!B15-'P &amp; L Statement'!B18)/('Balance Sheet'!B42-'Balance Sheet'!B20)</f>
        <v>7.7632875501966486E-2</v>
      </c>
      <c r="D26" s="154">
        <f>('P &amp; L Statement'!C15-'P &amp; L Statement'!C18)/('Balance Sheet'!C42-'Balance Sheet'!C20)</f>
        <v>0.28434251473896843</v>
      </c>
      <c r="E26" s="154">
        <f>('P &amp; L Statement'!D15-'P &amp; L Statement'!D18)/('Balance Sheet'!D42-'Balance Sheet'!D20)</f>
        <v>7.4106596871826386E-2</v>
      </c>
      <c r="F26" s="154">
        <f>('P &amp; L Statement'!E15-'P &amp; L Statement'!E18)/('Balance Sheet'!E42-'Balance Sheet'!E20)</f>
        <v>9.9813724167098494E-3</v>
      </c>
      <c r="G26" s="155">
        <f>('P &amp; L Statement'!F15-'P &amp; L Statement'!F18)/('Balance Sheet'!F42-'Balance Sheet'!F20)</f>
        <v>8.0250489844219841E-2</v>
      </c>
      <c r="H26" s="155">
        <f>('P &amp; L Statement'!G15-'P &amp; L Statement'!G18)/('Balance Sheet'!G42-'Balance Sheet'!G20)</f>
        <v>0.10375088374666727</v>
      </c>
      <c r="I26" s="155">
        <f>('P &amp; L Statement'!H15-'P &amp; L Statement'!H18)/('Balance Sheet'!H42-'Balance Sheet'!H20)</f>
        <v>0.10712121228877701</v>
      </c>
    </row>
  </sheetData>
  <mergeCells count="1">
    <mergeCell ref="A1:I1"/>
  </mergeCells>
  <phoneticPr fontId="19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Balance Sheet</vt:lpstr>
      <vt:lpstr>P &amp; L Statement</vt:lpstr>
      <vt:lpstr>Cash Flow Statement</vt:lpstr>
      <vt:lpstr>Common size BS</vt:lpstr>
      <vt:lpstr>Common size pl</vt:lpstr>
      <vt:lpstr>Ratio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Vibhuti Bhardwaj</cp:lastModifiedBy>
  <cp:revision>0</cp:revision>
  <cp:lastPrinted>2026-05-07T15:18:07Z</cp:lastPrinted>
  <dcterms:created xsi:type="dcterms:W3CDTF">2026-05-07T11:41:19Z</dcterms:created>
  <dcterms:modified xsi:type="dcterms:W3CDTF">2026-05-09T11:54:46Z</dcterms:modified>
  <dc:language>en-US</dc:language>
</cp:coreProperties>
</file>